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CC133E02-DA69-4EDF-9781-924673BD0CC2}" xr6:coauthVersionLast="47" xr6:coauthVersionMax="47" xr10:uidLastSave="{00000000-0000-0000-0000-000000000000}"/>
  <bookViews>
    <workbookView xWindow="-110" yWindow="-110" windowWidth="25820" windowHeight="15500" tabRatio="897" activeTab="9" xr2:uid="{26F17EF2-60EA-49B4-B96C-629BFD32739D}"/>
  </bookViews>
  <sheets>
    <sheet name="Content" sheetId="6" r:id="rId1"/>
    <sheet name="Raw Data" sheetId="4" r:id="rId2"/>
    <sheet name="Cleaning Tasks" sheetId="7" r:id="rId3"/>
    <sheet name="EMI Calculation" sheetId="2" r:id="rId4"/>
    <sheet name="Pivot1" sheetId="11" r:id="rId5"/>
    <sheet name="Pivot2" sheetId="12" r:id="rId6"/>
    <sheet name="Pivot3" sheetId="13" r:id="rId7"/>
    <sheet name="Pivot4" sheetId="14" r:id="rId8"/>
    <sheet name="Pivot 5" sheetId="15" r:id="rId9"/>
    <sheet name="Cleaned Data" sheetId="1" r:id="rId10"/>
    <sheet name="Amortization Table" sheetId="3" r:id="rId11"/>
    <sheet name="Instructions" sheetId="5" r:id="rId12"/>
    <sheet name="Dashboard" sheetId="9" r:id="rId13"/>
  </sheets>
  <definedNames>
    <definedName name="Slicer_Loan_Type">#N/A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 r="E10" i="2"/>
  <c r="K6" i="9"/>
  <c r="I6" i="9"/>
  <c r="G6" i="9"/>
  <c r="E6" i="9"/>
  <c r="C6" i="9"/>
  <c r="B12" i="3"/>
  <c r="B11" i="3"/>
  <c r="B10" i="3"/>
  <c r="B9" i="3"/>
  <c r="B8" i="3"/>
  <c r="B7" i="3"/>
  <c r="B6" i="3"/>
  <c r="B5" i="3"/>
  <c r="D5" i="3" l="1" a="1"/>
  <c r="D5" i="3"/>
  <c r="E5" i="3" s="1"/>
  <c r="B14" i="3"/>
  <c r="B15" i="3" s="1"/>
  <c r="B16" i="3" s="1"/>
  <c r="E9" i="2"/>
  <c r="E8" i="2"/>
  <c r="E7" i="2"/>
  <c r="E6" i="2"/>
  <c r="E5" i="2"/>
  <c r="E4" i="2"/>
  <c r="F5" i="3" l="1"/>
  <c r="E13" i="2"/>
  <c r="E14" i="2" s="1"/>
  <c r="E15" i="2" s="1"/>
  <c r="I5" i="3" l="1"/>
  <c r="G5" i="3"/>
  <c r="F6" i="3" l="1"/>
  <c r="E6" i="3"/>
  <c r="G6" i="3" l="1"/>
  <c r="I6" i="3"/>
  <c r="F7" i="3" s="1"/>
  <c r="E7" i="3" l="1"/>
  <c r="G7" i="3" l="1"/>
  <c r="I7" i="3"/>
  <c r="E8" i="3" s="1"/>
  <c r="F8" i="3" l="1"/>
  <c r="I8" i="3" l="1"/>
  <c r="G8" i="3"/>
  <c r="F9" i="3" l="1"/>
  <c r="E9" i="3"/>
  <c r="G9" i="3" l="1"/>
  <c r="I9" i="3"/>
  <c r="E10" i="3" l="1"/>
  <c r="F10" i="3"/>
  <c r="I10" i="3" l="1"/>
  <c r="G10" i="3"/>
  <c r="F11" i="3" l="1"/>
  <c r="E11" i="3"/>
  <c r="G11" i="3" l="1"/>
  <c r="I11" i="3"/>
  <c r="E12" i="3" l="1"/>
  <c r="F12" i="3"/>
  <c r="I12" i="3" l="1"/>
  <c r="G12" i="3"/>
  <c r="F13" i="3" l="1"/>
  <c r="E13" i="3"/>
  <c r="G13" i="3" l="1"/>
  <c r="I13" i="3"/>
  <c r="F14" i="3" l="1"/>
  <c r="E14" i="3"/>
  <c r="I14" i="3" l="1"/>
  <c r="G14" i="3"/>
  <c r="F15" i="3" l="1"/>
  <c r="I15" i="3" s="1"/>
  <c r="E15" i="3"/>
  <c r="G15" i="3" s="1"/>
  <c r="F16" i="3" l="1"/>
  <c r="I16" i="3" s="1"/>
  <c r="E16" i="3"/>
  <c r="G16" i="3" s="1"/>
  <c r="F17" i="3" l="1"/>
  <c r="E17" i="3"/>
  <c r="G17" i="3" l="1"/>
  <c r="I17" i="3"/>
  <c r="F18" i="3" l="1"/>
  <c r="E18" i="3"/>
  <c r="G18" i="3" s="1"/>
  <c r="I18" i="3" l="1"/>
  <c r="E19" i="3" l="1"/>
  <c r="F19" i="3"/>
  <c r="G19" i="3" l="1"/>
  <c r="I19" i="3"/>
  <c r="F20" i="3" l="1"/>
  <c r="E20" i="3"/>
  <c r="G20" i="3" l="1"/>
  <c r="I20" i="3"/>
  <c r="F21" i="3" l="1"/>
  <c r="E21" i="3"/>
  <c r="G21" i="3" l="1"/>
  <c r="I21" i="3"/>
  <c r="E22" i="3" l="1"/>
  <c r="F22" i="3"/>
  <c r="I22" i="3" l="1"/>
  <c r="G22" i="3"/>
  <c r="E23" i="3" l="1"/>
  <c r="F23" i="3"/>
  <c r="I23" i="3" l="1"/>
  <c r="G23" i="3"/>
  <c r="F24" i="3" l="1"/>
  <c r="E24" i="3"/>
  <c r="I24" i="3" l="1"/>
  <c r="G24" i="3"/>
  <c r="F25" i="3" l="1"/>
  <c r="E25" i="3"/>
  <c r="I25" i="3" l="1"/>
  <c r="G25" i="3"/>
  <c r="F26" i="3" l="1"/>
  <c r="E26" i="3"/>
  <c r="G26" i="3" l="1"/>
  <c r="I26" i="3"/>
  <c r="F27" i="3" l="1"/>
  <c r="E27" i="3"/>
  <c r="I27" i="3" l="1"/>
  <c r="G27" i="3"/>
  <c r="F28" i="3" l="1"/>
  <c r="E28" i="3"/>
  <c r="G28" i="3" l="1"/>
  <c r="I28" i="3"/>
  <c r="F29" i="3" l="1"/>
  <c r="E29" i="3"/>
  <c r="I29" i="3" l="1"/>
  <c r="G29" i="3"/>
  <c r="F30" i="3" l="1"/>
  <c r="E30" i="3"/>
  <c r="I30" i="3" l="1"/>
  <c r="G30" i="3"/>
  <c r="E31" i="3" l="1"/>
  <c r="F31" i="3"/>
  <c r="I31" i="3" l="1"/>
  <c r="G31" i="3"/>
  <c r="F32" i="3" l="1"/>
  <c r="E32" i="3"/>
  <c r="G32" i="3" l="1"/>
  <c r="I32" i="3"/>
  <c r="F33" i="3" l="1"/>
  <c r="E33" i="3"/>
  <c r="G33" i="3" l="1"/>
  <c r="I33" i="3"/>
  <c r="F34" i="3" l="1"/>
  <c r="E34" i="3"/>
  <c r="G34" i="3" l="1"/>
  <c r="I34" i="3"/>
  <c r="F35" i="3" l="1"/>
  <c r="E35" i="3"/>
  <c r="I35" i="3" l="1"/>
  <c r="G35" i="3"/>
  <c r="F36" i="3" l="1"/>
  <c r="E36" i="3"/>
  <c r="G36" i="3" s="1"/>
  <c r="I36" i="3" l="1"/>
  <c r="F37" i="3" l="1"/>
  <c r="E37" i="3"/>
  <c r="I37" i="3" l="1"/>
  <c r="G37" i="3"/>
  <c r="E38" i="3" l="1"/>
  <c r="F38" i="3"/>
  <c r="G38" i="3" l="1"/>
  <c r="I38" i="3"/>
  <c r="E39" i="3" l="1"/>
  <c r="F39" i="3"/>
  <c r="G39" i="3" l="1"/>
  <c r="I39" i="3"/>
  <c r="E40" i="3" l="1"/>
  <c r="F40" i="3"/>
  <c r="I40" i="3" l="1"/>
  <c r="G40" i="3"/>
  <c r="F41" i="3" l="1"/>
  <c r="E41" i="3"/>
  <c r="I41" i="3" l="1"/>
  <c r="G41" i="3"/>
  <c r="E42" i="3" l="1"/>
  <c r="F42" i="3"/>
  <c r="G42" i="3" l="1"/>
  <c r="I42" i="3"/>
  <c r="F43" i="3" l="1"/>
  <c r="E43" i="3"/>
  <c r="G43" i="3" l="1"/>
  <c r="I43" i="3"/>
  <c r="F44" i="3" l="1"/>
  <c r="E44" i="3"/>
  <c r="I44" i="3" l="1"/>
  <c r="G44" i="3"/>
  <c r="F45" i="3" l="1"/>
  <c r="E45" i="3"/>
  <c r="G45" i="3" l="1"/>
  <c r="I45" i="3"/>
  <c r="F46" i="3" l="1"/>
  <c r="E46" i="3"/>
  <c r="G46" i="3" l="1"/>
  <c r="I46" i="3"/>
  <c r="E47" i="3" l="1"/>
  <c r="F47" i="3"/>
  <c r="I47" i="3" l="1"/>
  <c r="G47" i="3"/>
  <c r="F48" i="3" l="1"/>
  <c r="E48" i="3"/>
  <c r="I48" i="3" l="1"/>
  <c r="G48" i="3"/>
  <c r="E49" i="3" l="1"/>
  <c r="F49" i="3"/>
  <c r="I49" i="3" l="1"/>
  <c r="G49" i="3"/>
  <c r="E50" i="3" l="1"/>
  <c r="F50" i="3"/>
  <c r="G50" i="3" l="1"/>
  <c r="I50" i="3"/>
  <c r="F51" i="3" l="1"/>
  <c r="E51" i="3"/>
  <c r="G51" i="3" l="1"/>
  <c r="I51" i="3"/>
  <c r="F52" i="3" l="1"/>
  <c r="E52" i="3"/>
  <c r="G52" i="3" l="1"/>
  <c r="I52" i="3"/>
  <c r="E53" i="3" l="1"/>
  <c r="F53" i="3"/>
  <c r="I53" i="3" l="1"/>
  <c r="G53" i="3"/>
  <c r="F54" i="3" l="1"/>
  <c r="E54" i="3"/>
  <c r="G54" i="3" l="1"/>
  <c r="I54" i="3"/>
  <c r="E55" i="3" l="1"/>
  <c r="F55" i="3"/>
  <c r="I55" i="3" l="1"/>
  <c r="G55" i="3"/>
  <c r="E56" i="3" l="1"/>
  <c r="F56" i="3"/>
  <c r="I56" i="3" l="1"/>
  <c r="G56" i="3"/>
  <c r="F57" i="3" l="1"/>
  <c r="E57" i="3"/>
  <c r="I57" i="3" l="1"/>
  <c r="G57" i="3"/>
  <c r="F58" i="3" l="1"/>
  <c r="E58" i="3"/>
  <c r="G58" i="3" l="1"/>
  <c r="I58" i="3"/>
  <c r="E59" i="3" l="1"/>
  <c r="G59" i="3" s="1"/>
  <c r="F59" i="3"/>
  <c r="I59" i="3" l="1"/>
  <c r="F60" i="3" l="1"/>
  <c r="E60" i="3"/>
  <c r="G60" i="3" l="1"/>
  <c r="I60" i="3"/>
  <c r="E61" i="3" l="1"/>
  <c r="F61" i="3"/>
  <c r="G61" i="3" l="1"/>
  <c r="I61" i="3"/>
  <c r="F62" i="3" l="1"/>
  <c r="E62" i="3"/>
  <c r="I62" i="3" l="1"/>
  <c r="G62" i="3"/>
  <c r="F63" i="3" l="1"/>
  <c r="E63" i="3"/>
  <c r="G63" i="3" l="1"/>
  <c r="I63" i="3"/>
  <c r="E64" i="3" l="1"/>
  <c r="F64" i="3"/>
  <c r="G64" i="3" l="1"/>
  <c r="I64" i="3"/>
  <c r="F65" i="3" l="1"/>
  <c r="E65" i="3"/>
  <c r="G65" i="3" l="1"/>
  <c r="I65" i="3"/>
  <c r="F66" i="3" l="1"/>
  <c r="E66" i="3"/>
  <c r="G66" i="3" l="1"/>
  <c r="I66" i="3"/>
  <c r="F67" i="3" l="1"/>
  <c r="E67" i="3"/>
  <c r="G67" i="3" l="1"/>
  <c r="I67" i="3"/>
  <c r="E68" i="3" l="1"/>
  <c r="F68" i="3"/>
  <c r="G68" i="3" l="1"/>
  <c r="I68" i="3"/>
  <c r="E69" i="3" l="1"/>
  <c r="F69" i="3"/>
  <c r="I69" i="3" l="1"/>
  <c r="G69" i="3"/>
  <c r="F70" i="3" l="1"/>
  <c r="E70" i="3"/>
  <c r="G70" i="3" s="1"/>
  <c r="I70" i="3" l="1"/>
  <c r="F71" i="3" l="1"/>
  <c r="E71" i="3"/>
  <c r="I71" i="3" l="1"/>
  <c r="G71" i="3"/>
  <c r="F72" i="3" l="1"/>
  <c r="E72" i="3"/>
  <c r="G72" i="3" l="1"/>
  <c r="I72" i="3"/>
  <c r="E73" i="3" l="1"/>
  <c r="F73" i="3"/>
  <c r="G73" i="3" l="1"/>
  <c r="I73" i="3"/>
  <c r="F74" i="3" l="1"/>
  <c r="E74" i="3"/>
  <c r="G74" i="3" l="1"/>
  <c r="I74" i="3"/>
  <c r="E75" i="3" l="1"/>
  <c r="F75" i="3"/>
  <c r="G75" i="3" l="1"/>
  <c r="I75" i="3"/>
  <c r="F76" i="3" l="1"/>
  <c r="E76" i="3"/>
  <c r="G76" i="3" l="1"/>
  <c r="I76" i="3"/>
  <c r="F77" i="3" l="1"/>
  <c r="E77" i="3"/>
  <c r="G77" i="3" l="1"/>
  <c r="I77" i="3"/>
  <c r="E78" i="3" l="1"/>
  <c r="F78" i="3"/>
  <c r="I78" i="3" l="1"/>
  <c r="G78" i="3"/>
  <c r="F79" i="3" l="1"/>
  <c r="I79" i="3" s="1"/>
  <c r="E79" i="3"/>
  <c r="G79" i="3" l="1"/>
  <c r="F80" i="3"/>
  <c r="I80" i="3" s="1"/>
  <c r="E80" i="3"/>
  <c r="F81" i="3" l="1"/>
  <c r="I81" i="3" s="1"/>
  <c r="E81" i="3"/>
  <c r="G80" i="3"/>
  <c r="G81" i="3" l="1"/>
  <c r="E82" i="3"/>
  <c r="F82" i="3"/>
  <c r="I82" i="3" s="1"/>
  <c r="E83" i="3" l="1"/>
  <c r="F83" i="3"/>
  <c r="I83" i="3" s="1"/>
  <c r="G82" i="3"/>
  <c r="E84" i="3" l="1"/>
  <c r="F84" i="3"/>
  <c r="I84" i="3" s="1"/>
  <c r="G83" i="3"/>
  <c r="G84" i="3" l="1"/>
  <c r="E85" i="3"/>
  <c r="F85" i="3"/>
  <c r="I85" i="3" s="1"/>
  <c r="G85" i="3" l="1"/>
  <c r="E86" i="3"/>
  <c r="F86" i="3"/>
  <c r="I86" i="3" s="1"/>
  <c r="G86" i="3" l="1"/>
  <c r="E87" i="3"/>
  <c r="F87" i="3"/>
  <c r="I87" i="3" s="1"/>
  <c r="E88" i="3" l="1"/>
  <c r="F88" i="3"/>
  <c r="I88" i="3" s="1"/>
  <c r="G87" i="3"/>
  <c r="E89" i="3" l="1"/>
  <c r="F89" i="3"/>
  <c r="I89" i="3" s="1"/>
  <c r="G88" i="3"/>
  <c r="E90" i="3" l="1"/>
  <c r="F90" i="3"/>
  <c r="I90" i="3" s="1"/>
  <c r="G89" i="3"/>
  <c r="G90" i="3" l="1"/>
  <c r="E91" i="3"/>
  <c r="F91" i="3"/>
  <c r="I91" i="3" s="1"/>
  <c r="E92" i="3" l="1"/>
  <c r="F92" i="3"/>
  <c r="I92" i="3" s="1"/>
  <c r="G91" i="3"/>
  <c r="E93" i="3" l="1"/>
  <c r="F93" i="3"/>
  <c r="I93" i="3" s="1"/>
  <c r="G92" i="3"/>
  <c r="E94" i="3" l="1"/>
  <c r="F94" i="3"/>
  <c r="I94" i="3" s="1"/>
  <c r="G93" i="3"/>
  <c r="F95" i="3" l="1"/>
  <c r="I95" i="3" s="1"/>
  <c r="E95" i="3"/>
  <c r="G94" i="3"/>
  <c r="G95" i="3" l="1"/>
  <c r="F96" i="3"/>
  <c r="I96" i="3" s="1"/>
  <c r="E96" i="3"/>
  <c r="G96" i="3" s="1"/>
  <c r="E97" i="3" l="1"/>
  <c r="F97" i="3"/>
  <c r="I97" i="3" s="1"/>
  <c r="F98" i="3" l="1"/>
  <c r="I98" i="3" s="1"/>
  <c r="E98" i="3"/>
  <c r="G97" i="3"/>
  <c r="G98" i="3" l="1"/>
  <c r="E99" i="3"/>
  <c r="F99" i="3"/>
  <c r="I99" i="3" s="1"/>
  <c r="G99" i="3" l="1"/>
  <c r="E100" i="3"/>
  <c r="F100" i="3"/>
  <c r="I100" i="3" s="1"/>
  <c r="G100" i="3" l="1"/>
  <c r="F101" i="3"/>
  <c r="I101" i="3" s="1"/>
  <c r="E101" i="3"/>
  <c r="G101" i="3" l="1"/>
  <c r="F102" i="3"/>
  <c r="I102" i="3" s="1"/>
  <c r="E102" i="3"/>
  <c r="E103" i="3" l="1"/>
  <c r="F103" i="3"/>
  <c r="I103" i="3" s="1"/>
  <c r="G102" i="3"/>
  <c r="G103" i="3" l="1"/>
  <c r="E104" i="3"/>
  <c r="F104" i="3"/>
  <c r="I104" i="3" s="1"/>
  <c r="G104" i="3" l="1"/>
  <c r="F105" i="3"/>
  <c r="I105" i="3" s="1"/>
  <c r="E105" i="3"/>
  <c r="E106" i="3" l="1"/>
  <c r="F106" i="3"/>
  <c r="I106" i="3" s="1"/>
  <c r="G105" i="3"/>
  <c r="G106" i="3" l="1"/>
  <c r="E107" i="3"/>
  <c r="F107" i="3"/>
  <c r="I107" i="3" s="1"/>
  <c r="F108" i="3" l="1"/>
  <c r="I108" i="3" s="1"/>
  <c r="E108" i="3"/>
  <c r="G107" i="3"/>
  <c r="G108" i="3" l="1"/>
  <c r="F109" i="3"/>
  <c r="I109" i="3" s="1"/>
  <c r="E109" i="3"/>
  <c r="G109" i="3" l="1"/>
  <c r="F110" i="3"/>
  <c r="I110" i="3" s="1"/>
  <c r="E110" i="3"/>
  <c r="G110" i="3" l="1"/>
  <c r="F111" i="3"/>
  <c r="I111" i="3" s="1"/>
  <c r="E111" i="3"/>
  <c r="F112" i="3" l="1"/>
  <c r="I112" i="3" s="1"/>
  <c r="E112" i="3"/>
  <c r="G111" i="3"/>
  <c r="G112" i="3" l="1"/>
  <c r="F113" i="3"/>
  <c r="I113" i="3" s="1"/>
  <c r="E113" i="3"/>
  <c r="G113" i="3" l="1"/>
  <c r="E114" i="3"/>
  <c r="F114" i="3"/>
  <c r="I114" i="3" s="1"/>
  <c r="F115" i="3" l="1"/>
  <c r="I115" i="3" s="1"/>
  <c r="E115" i="3"/>
  <c r="G114" i="3"/>
  <c r="E116" i="3" l="1"/>
  <c r="F116" i="3"/>
  <c r="I116" i="3" s="1"/>
  <c r="G115" i="3"/>
  <c r="F117" i="3" l="1"/>
  <c r="I117" i="3" s="1"/>
  <c r="E117" i="3"/>
  <c r="G116" i="3"/>
  <c r="E118" i="3" l="1"/>
  <c r="F118" i="3"/>
  <c r="I118" i="3" s="1"/>
  <c r="G117" i="3"/>
  <c r="G118" i="3" l="1"/>
  <c r="F119" i="3"/>
  <c r="I119" i="3" s="1"/>
  <c r="E119" i="3"/>
  <c r="E120" i="3" l="1"/>
  <c r="F120" i="3"/>
  <c r="I120" i="3" s="1"/>
  <c r="G119" i="3"/>
  <c r="F121" i="3" l="1"/>
  <c r="I121" i="3" s="1"/>
  <c r="E121" i="3"/>
  <c r="G120" i="3"/>
  <c r="F122" i="3" l="1"/>
  <c r="I122" i="3" s="1"/>
  <c r="E122" i="3"/>
  <c r="G121" i="3"/>
  <c r="G122" i="3" l="1"/>
  <c r="E123" i="3"/>
  <c r="F123" i="3"/>
  <c r="I123" i="3" s="1"/>
  <c r="E124" i="3" l="1"/>
  <c r="F124" i="3"/>
  <c r="I124" i="3" s="1"/>
  <c r="G123" i="3"/>
  <c r="E125" i="3" l="1"/>
  <c r="F125" i="3"/>
  <c r="I125" i="3" s="1"/>
  <c r="G124" i="3"/>
  <c r="G125" i="3" l="1"/>
  <c r="E126" i="3"/>
  <c r="F126" i="3"/>
  <c r="I126" i="3" s="1"/>
  <c r="G126" i="3" l="1"/>
  <c r="E127" i="3"/>
  <c r="F127" i="3"/>
  <c r="I127" i="3" s="1"/>
  <c r="E128" i="3" l="1"/>
  <c r="F128" i="3"/>
  <c r="I128" i="3" s="1"/>
  <c r="G127" i="3"/>
  <c r="G128" i="3" l="1"/>
  <c r="F129" i="3"/>
  <c r="I129" i="3" s="1"/>
  <c r="E129" i="3"/>
  <c r="G129" i="3" l="1"/>
  <c r="F130" i="3"/>
  <c r="I130" i="3" s="1"/>
  <c r="E130" i="3"/>
  <c r="F131" i="3" l="1"/>
  <c r="I131" i="3" s="1"/>
  <c r="E131" i="3"/>
  <c r="G130" i="3"/>
  <c r="G131" i="3" l="1"/>
  <c r="E132" i="3"/>
  <c r="F132" i="3"/>
  <c r="I132" i="3" s="1"/>
  <c r="G132" i="3" l="1"/>
  <c r="F133" i="3"/>
  <c r="I133" i="3" s="1"/>
  <c r="E133" i="3"/>
  <c r="G133" i="3" l="1"/>
  <c r="F134" i="3"/>
  <c r="I134" i="3" s="1"/>
  <c r="E134" i="3"/>
  <c r="F135" i="3" l="1"/>
  <c r="I135" i="3" s="1"/>
  <c r="E135" i="3"/>
  <c r="G134" i="3"/>
  <c r="G135" i="3" l="1"/>
  <c r="F136" i="3"/>
  <c r="I136" i="3" s="1"/>
  <c r="E136" i="3"/>
  <c r="E137" i="3" l="1"/>
  <c r="F137" i="3"/>
  <c r="I137" i="3" s="1"/>
  <c r="G136" i="3"/>
  <c r="F138" i="3" l="1"/>
  <c r="I138" i="3" s="1"/>
  <c r="E138" i="3"/>
  <c r="G137" i="3"/>
  <c r="G138" i="3" l="1"/>
  <c r="E139" i="3"/>
  <c r="F139" i="3"/>
  <c r="I139" i="3" s="1"/>
  <c r="E140" i="3" l="1"/>
  <c r="F140" i="3"/>
  <c r="I140" i="3" s="1"/>
  <c r="G139" i="3"/>
  <c r="F141" i="3" l="1"/>
  <c r="I141" i="3" s="1"/>
  <c r="E141" i="3"/>
  <c r="G140" i="3"/>
  <c r="E142" i="3" l="1"/>
  <c r="F142" i="3"/>
  <c r="I142" i="3" s="1"/>
  <c r="G141" i="3"/>
  <c r="G142" i="3" l="1"/>
  <c r="E143" i="3"/>
  <c r="F143" i="3"/>
  <c r="I143" i="3" s="1"/>
  <c r="G143" i="3" l="1"/>
  <c r="E144" i="3"/>
  <c r="F144" i="3"/>
  <c r="I144" i="3" s="1"/>
  <c r="E145" i="3" l="1"/>
  <c r="F145" i="3"/>
  <c r="I145" i="3" s="1"/>
  <c r="G144" i="3"/>
  <c r="G145" i="3" l="1"/>
  <c r="E146" i="3"/>
  <c r="F146" i="3"/>
  <c r="I146" i="3" s="1"/>
  <c r="F147" i="3" l="1"/>
  <c r="I147" i="3" s="1"/>
  <c r="E147" i="3"/>
  <c r="G146" i="3"/>
  <c r="G147" i="3" l="1"/>
  <c r="E148" i="3"/>
  <c r="F148" i="3"/>
  <c r="I148" i="3" s="1"/>
  <c r="F149" i="3" l="1"/>
  <c r="I149" i="3" s="1"/>
  <c r="E149" i="3"/>
  <c r="G148" i="3"/>
  <c r="F150" i="3" l="1"/>
  <c r="I150" i="3" s="1"/>
  <c r="E150" i="3"/>
  <c r="G149" i="3"/>
  <c r="G150" i="3" l="1"/>
  <c r="E151" i="3"/>
  <c r="F151" i="3"/>
  <c r="I151" i="3" s="1"/>
  <c r="F152" i="3" l="1"/>
  <c r="I152" i="3" s="1"/>
  <c r="E152" i="3"/>
  <c r="G151" i="3"/>
  <c r="G152" i="3" l="1"/>
  <c r="F153" i="3"/>
  <c r="I153" i="3" s="1"/>
  <c r="E153" i="3"/>
  <c r="G153" i="3" l="1"/>
  <c r="E154" i="3"/>
  <c r="F154" i="3"/>
  <c r="I154" i="3" s="1"/>
  <c r="G154" i="3" l="1"/>
  <c r="E155" i="3"/>
  <c r="F155" i="3"/>
  <c r="I155" i="3" s="1"/>
  <c r="G155" i="3" l="1"/>
  <c r="E156" i="3"/>
  <c r="F156" i="3"/>
  <c r="I156" i="3" s="1"/>
  <c r="E157" i="3" l="1"/>
  <c r="F157" i="3"/>
  <c r="I157" i="3" s="1"/>
  <c r="G156" i="3"/>
  <c r="G157" i="3" l="1"/>
  <c r="E158" i="3"/>
  <c r="G158" i="3" s="1"/>
  <c r="F158" i="3"/>
  <c r="I158" i="3" s="1"/>
  <c r="E159" i="3" l="1"/>
  <c r="G159" i="3" s="1"/>
  <c r="F159" i="3"/>
  <c r="I159" i="3" s="1"/>
  <c r="E160" i="3" l="1"/>
  <c r="F160" i="3"/>
  <c r="I160" i="3" s="1"/>
  <c r="G160" i="3" l="1"/>
  <c r="F161" i="3"/>
  <c r="I161" i="3" s="1"/>
  <c r="E161" i="3"/>
  <c r="F162" i="3" l="1"/>
  <c r="I162" i="3" s="1"/>
  <c r="E162" i="3"/>
  <c r="G161" i="3"/>
  <c r="E163" i="3" l="1"/>
  <c r="F163" i="3"/>
  <c r="I163" i="3" s="1"/>
  <c r="G162" i="3"/>
  <c r="G163" i="3" l="1"/>
  <c r="E164" i="3"/>
  <c r="F164" i="3"/>
  <c r="I164" i="3" s="1"/>
  <c r="F165" i="3" l="1"/>
  <c r="I165" i="3" s="1"/>
  <c r="E165" i="3"/>
  <c r="G164" i="3"/>
  <c r="F166" i="3" l="1"/>
  <c r="I166" i="3" s="1"/>
  <c r="E166" i="3"/>
  <c r="G165" i="3"/>
  <c r="G166" i="3" l="1"/>
  <c r="E167" i="3"/>
  <c r="F167" i="3"/>
  <c r="I167" i="3" s="1"/>
  <c r="E168" i="3" l="1"/>
  <c r="F168" i="3"/>
  <c r="I168" i="3" s="1"/>
  <c r="G167" i="3"/>
  <c r="G168" i="3" l="1"/>
  <c r="E169" i="3"/>
  <c r="F169" i="3"/>
  <c r="I169" i="3" s="1"/>
  <c r="F170" i="3" l="1"/>
  <c r="I170" i="3" s="1"/>
  <c r="E170" i="3"/>
  <c r="G169" i="3"/>
  <c r="G170" i="3" l="1"/>
  <c r="E171" i="3"/>
  <c r="F171" i="3"/>
  <c r="I171" i="3" s="1"/>
  <c r="E172" i="3" l="1"/>
  <c r="F172" i="3"/>
  <c r="I172" i="3" s="1"/>
  <c r="G171" i="3"/>
  <c r="G172" i="3" l="1"/>
  <c r="E173" i="3"/>
  <c r="F173" i="3"/>
  <c r="I173" i="3" s="1"/>
  <c r="F174" i="3" l="1"/>
  <c r="I174" i="3" s="1"/>
  <c r="E174" i="3"/>
  <c r="G173" i="3"/>
  <c r="F175" i="3" l="1"/>
  <c r="I175" i="3" s="1"/>
  <c r="E175" i="3"/>
  <c r="G174" i="3"/>
  <c r="F176" i="3" l="1"/>
  <c r="I176" i="3" s="1"/>
  <c r="E176" i="3"/>
  <c r="G175" i="3"/>
  <c r="F177" i="3" l="1"/>
  <c r="I177" i="3" s="1"/>
  <c r="E177" i="3"/>
  <c r="G176" i="3"/>
  <c r="G177" i="3" l="1"/>
  <c r="F178" i="3"/>
  <c r="I178" i="3" s="1"/>
  <c r="E178" i="3"/>
  <c r="E179" i="3" l="1"/>
  <c r="F179" i="3"/>
  <c r="I179" i="3" s="1"/>
  <c r="G178" i="3"/>
  <c r="G179" i="3" l="1"/>
  <c r="E180" i="3"/>
  <c r="F180" i="3"/>
  <c r="I180" i="3" s="1"/>
  <c r="G180" i="3" l="1"/>
  <c r="E181" i="3"/>
  <c r="F181" i="3"/>
  <c r="I181" i="3" s="1"/>
  <c r="E182" i="3" l="1"/>
  <c r="F182" i="3"/>
  <c r="I182" i="3" s="1"/>
  <c r="G181" i="3"/>
  <c r="F183" i="3" l="1"/>
  <c r="I183" i="3" s="1"/>
  <c r="E183" i="3"/>
  <c r="G182" i="3"/>
  <c r="F184" i="3" l="1"/>
  <c r="E184" i="3"/>
  <c r="G183" i="3"/>
  <c r="I184" i="3" l="1"/>
  <c r="G184" i="3"/>
  <c r="E185" i="3" l="1"/>
  <c r="F185" i="3"/>
  <c r="G185" i="3" l="1"/>
  <c r="I185" i="3"/>
  <c r="E186" i="3" l="1"/>
  <c r="F186" i="3"/>
  <c r="I186" i="3" l="1"/>
  <c r="G186" i="3"/>
  <c r="F187" i="3" l="1"/>
  <c r="E187" i="3"/>
  <c r="I187" i="3" l="1"/>
  <c r="G187" i="3"/>
  <c r="F188" i="3" l="1"/>
  <c r="E188" i="3"/>
  <c r="I188" i="3" l="1"/>
  <c r="G188" i="3"/>
  <c r="F189" i="3" l="1"/>
  <c r="E189" i="3"/>
  <c r="G189" i="3" l="1"/>
  <c r="I189" i="3"/>
  <c r="E190" i="3" l="1"/>
  <c r="F190" i="3"/>
  <c r="G190" i="3" l="1"/>
  <c r="I190" i="3"/>
  <c r="E191" i="3" l="1"/>
  <c r="F191" i="3"/>
  <c r="I191" i="3" l="1"/>
  <c r="G191" i="3"/>
  <c r="F192" i="3" l="1"/>
  <c r="E192" i="3"/>
  <c r="G192" i="3" l="1"/>
  <c r="I192" i="3"/>
  <c r="E193" i="3" l="1"/>
  <c r="F193" i="3"/>
  <c r="G193" i="3" l="1"/>
  <c r="I193" i="3"/>
  <c r="E194" i="3" l="1"/>
  <c r="F194" i="3"/>
  <c r="G194" i="3" l="1"/>
  <c r="I194" i="3"/>
  <c r="F195" i="3" l="1"/>
  <c r="E195" i="3"/>
  <c r="I195" i="3" l="1"/>
  <c r="G195" i="3"/>
  <c r="F196" i="3" l="1"/>
  <c r="E196" i="3"/>
  <c r="G196" i="3" l="1"/>
  <c r="I196" i="3"/>
  <c r="F197" i="3" l="1"/>
  <c r="E197" i="3"/>
  <c r="G197" i="3" l="1"/>
  <c r="I197" i="3"/>
  <c r="F198" i="3" l="1"/>
  <c r="E198" i="3"/>
  <c r="G198" i="3" s="1"/>
  <c r="I198" i="3" l="1"/>
  <c r="E199" i="3" l="1"/>
  <c r="F199" i="3"/>
  <c r="G199" i="3" l="1"/>
  <c r="I199" i="3"/>
  <c r="F200" i="3" l="1"/>
  <c r="E200" i="3"/>
  <c r="G200" i="3" l="1"/>
  <c r="I200" i="3"/>
  <c r="E201" i="3" l="1"/>
  <c r="F201" i="3"/>
  <c r="G201" i="3" l="1"/>
  <c r="I201" i="3"/>
  <c r="F202" i="3" l="1"/>
  <c r="E202" i="3"/>
  <c r="I202" i="3" l="1"/>
  <c r="G202" i="3"/>
  <c r="E203" i="3" l="1"/>
  <c r="F203" i="3"/>
  <c r="G203" i="3" l="1"/>
  <c r="I203" i="3"/>
  <c r="E204" i="3" l="1"/>
  <c r="F204" i="3"/>
  <c r="I204" i="3" l="1"/>
  <c r="G204" i="3"/>
  <c r="F205" i="3" l="1"/>
  <c r="E205" i="3"/>
  <c r="G205" i="3" l="1"/>
  <c r="I205" i="3"/>
  <c r="E206" i="3" l="1"/>
  <c r="F206" i="3"/>
  <c r="G206" i="3" l="1"/>
  <c r="I206" i="3"/>
  <c r="F207" i="3" l="1"/>
  <c r="E207" i="3"/>
  <c r="G207" i="3" s="1"/>
  <c r="I207" i="3" l="1"/>
  <c r="E208" i="3" l="1"/>
  <c r="G208" i="3" s="1"/>
  <c r="F208" i="3"/>
  <c r="I208" i="3" l="1"/>
  <c r="E209" i="3" l="1"/>
  <c r="F209" i="3"/>
  <c r="I209" i="3" l="1"/>
  <c r="G209" i="3"/>
  <c r="F210" i="3" l="1"/>
  <c r="E210" i="3"/>
  <c r="G210" i="3" l="1"/>
  <c r="I210" i="3"/>
  <c r="E211" i="3" l="1"/>
  <c r="F211" i="3"/>
  <c r="I211" i="3" l="1"/>
  <c r="G211" i="3"/>
  <c r="E212" i="3" l="1"/>
  <c r="F212" i="3"/>
  <c r="G212" i="3" l="1"/>
  <c r="I212" i="3"/>
  <c r="F213" i="3" l="1"/>
  <c r="E213" i="3"/>
  <c r="I213" i="3" l="1"/>
  <c r="G213" i="3"/>
  <c r="E214" i="3" l="1"/>
  <c r="F214" i="3"/>
  <c r="G214" i="3" l="1"/>
  <c r="I214" i="3"/>
  <c r="E215" i="3" l="1"/>
  <c r="F215" i="3"/>
  <c r="I215" i="3" l="1"/>
  <c r="G215" i="3"/>
  <c r="F216" i="3" l="1"/>
  <c r="E216" i="3"/>
  <c r="G216" i="3" l="1"/>
  <c r="I216" i="3"/>
  <c r="F217" i="3" l="1"/>
  <c r="E217" i="3"/>
  <c r="I217" i="3" l="1"/>
  <c r="G217" i="3"/>
  <c r="F218" i="3" l="1"/>
  <c r="E218" i="3"/>
  <c r="I218" i="3" l="1"/>
  <c r="G218" i="3"/>
  <c r="F219" i="3" l="1"/>
  <c r="E219" i="3"/>
  <c r="G219" i="3" l="1"/>
  <c r="I219" i="3"/>
  <c r="E220" i="3" l="1"/>
  <c r="F220" i="3"/>
  <c r="G220" i="3" l="1"/>
  <c r="I220" i="3"/>
  <c r="F221" i="3" l="1"/>
  <c r="E221" i="3"/>
  <c r="G221" i="3" l="1"/>
  <c r="I221" i="3"/>
  <c r="E222" i="3" l="1"/>
  <c r="F222" i="3"/>
  <c r="G222" i="3" l="1"/>
  <c r="I222" i="3"/>
  <c r="F223" i="3" l="1"/>
  <c r="E223" i="3"/>
  <c r="G223" i="3" l="1"/>
  <c r="I223" i="3"/>
  <c r="F224" i="3" l="1"/>
  <c r="E224" i="3"/>
  <c r="I224" i="3" l="1"/>
  <c r="G224" i="3"/>
  <c r="F225" i="3" l="1"/>
  <c r="E225" i="3"/>
  <c r="G225" i="3" l="1"/>
  <c r="I225" i="3"/>
  <c r="E226" i="3" l="1"/>
  <c r="F226" i="3"/>
  <c r="I226" i="3" l="1"/>
  <c r="G226" i="3"/>
  <c r="E227" i="3" l="1"/>
  <c r="F227" i="3"/>
  <c r="G227" i="3" l="1"/>
  <c r="I227" i="3"/>
  <c r="F228" i="3" l="1"/>
  <c r="E228" i="3"/>
  <c r="G228" i="3" l="1"/>
  <c r="I228" i="3"/>
  <c r="F229" i="3" l="1"/>
  <c r="E229" i="3"/>
  <c r="G229" i="3" l="1"/>
  <c r="I229" i="3"/>
  <c r="E230" i="3" l="1"/>
  <c r="F230" i="3"/>
  <c r="I230" i="3" l="1"/>
  <c r="G230" i="3"/>
  <c r="F231" i="3" l="1"/>
  <c r="E231" i="3"/>
  <c r="G231" i="3" l="1"/>
  <c r="I231" i="3"/>
  <c r="F232" i="3" l="1"/>
  <c r="E232" i="3"/>
  <c r="I232" i="3" l="1"/>
  <c r="G232" i="3"/>
  <c r="F233" i="3" l="1"/>
  <c r="E233" i="3"/>
  <c r="G233" i="3" l="1"/>
  <c r="I233" i="3"/>
  <c r="F234" i="3" l="1"/>
  <c r="E234" i="3"/>
  <c r="I234" i="3" l="1"/>
  <c r="G234" i="3"/>
  <c r="F235" i="3" l="1"/>
  <c r="E235" i="3"/>
  <c r="I235" i="3" l="1"/>
  <c r="G235" i="3"/>
  <c r="E236" i="3" l="1"/>
  <c r="F236" i="3"/>
  <c r="G236" i="3" l="1"/>
  <c r="I236" i="3"/>
  <c r="E237" i="3" l="1"/>
  <c r="F237" i="3"/>
  <c r="I237" i="3" l="1"/>
  <c r="G237" i="3"/>
  <c r="F238" i="3" l="1"/>
  <c r="E238" i="3"/>
  <c r="I238" i="3" l="1"/>
  <c r="G238" i="3"/>
  <c r="E239" i="3" l="1"/>
  <c r="F239" i="3"/>
  <c r="I239" i="3" l="1"/>
  <c r="G239" i="3"/>
  <c r="F240" i="3" l="1"/>
  <c r="E240" i="3"/>
  <c r="I240" i="3" l="1"/>
  <c r="G240" i="3"/>
  <c r="E241" i="3" l="1"/>
  <c r="F241" i="3"/>
  <c r="I241" i="3" l="1"/>
  <c r="G241" i="3"/>
  <c r="F242" i="3" l="1"/>
  <c r="E242" i="3"/>
  <c r="G242" i="3" l="1"/>
  <c r="I242" i="3"/>
  <c r="E243" i="3" l="1"/>
  <c r="F243" i="3"/>
  <c r="I243" i="3" s="1"/>
  <c r="G243" i="3" l="1"/>
  <c r="F244" i="3"/>
  <c r="I244" i="3" s="1"/>
  <c r="E244" i="3"/>
  <c r="G244"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<sst xmlns="http://schemas.openxmlformats.org/spreadsheetml/2006/main" count="1486" uniqueCount="699">
  <si>
    <t>LN001</t>
  </si>
  <si>
    <t>Priya Singh</t>
  </si>
  <si>
    <t>Car Loan</t>
  </si>
  <si>
    <t>01-09-2024</t>
  </si>
  <si>
    <t>Active</t>
  </si>
  <si>
    <t>LN002</t>
  </si>
  <si>
    <t>Sneha Paul</t>
  </si>
  <si>
    <t>Home Loan</t>
  </si>
  <si>
    <t>15-10-2024</t>
  </si>
  <si>
    <t>Closed</t>
  </si>
  <si>
    <t>LN003</t>
  </si>
  <si>
    <t>Rahul Roy</t>
  </si>
  <si>
    <t>Education Loan</t>
  </si>
  <si>
    <t>25-01-2024</t>
  </si>
  <si>
    <t>LN004</t>
  </si>
  <si>
    <t>12-04-2025</t>
  </si>
  <si>
    <t>LN005</t>
  </si>
  <si>
    <t>Pooja Roy</t>
  </si>
  <si>
    <t>26-04-2025</t>
  </si>
  <si>
    <t>Pending</t>
  </si>
  <si>
    <t>LN006</t>
  </si>
  <si>
    <t>Sneha Roy</t>
  </si>
  <si>
    <t>02-10-2024</t>
  </si>
  <si>
    <t>LN007</t>
  </si>
  <si>
    <t>Pooja Singh</t>
  </si>
  <si>
    <t>Business Loan</t>
  </si>
  <si>
    <t>05-01-2025</t>
  </si>
  <si>
    <t>LN008</t>
  </si>
  <si>
    <t>Rohan Roy</t>
  </si>
  <si>
    <t>01-12-2024</t>
  </si>
  <si>
    <t>LN009</t>
  </si>
  <si>
    <t>Ananya Singh</t>
  </si>
  <si>
    <t>Personal Loan</t>
  </si>
  <si>
    <t>10-06-2024</t>
  </si>
  <si>
    <t>LN010</t>
  </si>
  <si>
    <t>01-04-2024</t>
  </si>
  <si>
    <t>LN011</t>
  </si>
  <si>
    <t>Karan Mitra</t>
  </si>
  <si>
    <t>11-10-2024</t>
  </si>
  <si>
    <t>LN012</t>
  </si>
  <si>
    <t>Karan Sharma</t>
  </si>
  <si>
    <t>11-09-2024</t>
  </si>
  <si>
    <t>LN013</t>
  </si>
  <si>
    <t>Pooja Sen</t>
  </si>
  <si>
    <t>30-03-2025</t>
  </si>
  <si>
    <t>LN014</t>
  </si>
  <si>
    <t>Ananya Mitra</t>
  </si>
  <si>
    <t>20-08-2024</t>
  </si>
  <si>
    <t>LN015</t>
  </si>
  <si>
    <t>Ananya Dutta</t>
  </si>
  <si>
    <t>20-01-2025</t>
  </si>
  <si>
    <t>LN016</t>
  </si>
  <si>
    <t>Sneha Sharma</t>
  </si>
  <si>
    <t>09-09-2024</t>
  </si>
  <si>
    <t>LN017</t>
  </si>
  <si>
    <t>Rohan Singh</t>
  </si>
  <si>
    <t>13-08-2024</t>
  </si>
  <si>
    <t>LN018</t>
  </si>
  <si>
    <t>Arjun Das</t>
  </si>
  <si>
    <t>13-03-2024</t>
  </si>
  <si>
    <t>LN019</t>
  </si>
  <si>
    <t>Amit Roy</t>
  </si>
  <si>
    <t>06-11-2024</t>
  </si>
  <si>
    <t>LN020</t>
  </si>
  <si>
    <t>Sneha Dutta</t>
  </si>
  <si>
    <t>03-05-2024</t>
  </si>
  <si>
    <t>LN021</t>
  </si>
  <si>
    <t>20-11-2024</t>
  </si>
  <si>
    <t>LN022</t>
  </si>
  <si>
    <t>Arjun Roy</t>
  </si>
  <si>
    <t>29-10-2024</t>
  </si>
  <si>
    <t>LN023</t>
  </si>
  <si>
    <t>30-06-2024</t>
  </si>
  <si>
    <t>LN024</t>
  </si>
  <si>
    <t>Sneha Verma</t>
  </si>
  <si>
    <t>06-03-2024</t>
  </si>
  <si>
    <t>LN025</t>
  </si>
  <si>
    <t>Arjun Dutta</t>
  </si>
  <si>
    <t>12-09-2024</t>
  </si>
  <si>
    <t>LN026</t>
  </si>
  <si>
    <t>Rahul Verma</t>
  </si>
  <si>
    <t>17-06-2024</t>
  </si>
  <si>
    <t>LN027</t>
  </si>
  <si>
    <t>Priya Sen</t>
  </si>
  <si>
    <t>27-03-2025</t>
  </si>
  <si>
    <t>LN028</t>
  </si>
  <si>
    <t>Priya Das</t>
  </si>
  <si>
    <t>05-12-2024</t>
  </si>
  <si>
    <t>LN029</t>
  </si>
  <si>
    <t>Arjun Singh</t>
  </si>
  <si>
    <t>08-02-2024</t>
  </si>
  <si>
    <t>LN030</t>
  </si>
  <si>
    <t>Amit Das</t>
  </si>
  <si>
    <t>09-06-2024</t>
  </si>
  <si>
    <t>LN031</t>
  </si>
  <si>
    <t>Ananya Ghosh</t>
  </si>
  <si>
    <t>13-07-2024</t>
  </si>
  <si>
    <t>LN032</t>
  </si>
  <si>
    <t>06-10-2024</t>
  </si>
  <si>
    <t>LN033</t>
  </si>
  <si>
    <t>Ananya Das</t>
  </si>
  <si>
    <t>26-02-2025</t>
  </si>
  <si>
    <t>LN034</t>
  </si>
  <si>
    <t>Rohan Mitra</t>
  </si>
  <si>
    <t>01-01-2024</t>
  </si>
  <si>
    <t>LN035</t>
  </si>
  <si>
    <t>Karan Paul</t>
  </si>
  <si>
    <t>21-04-2025</t>
  </si>
  <si>
    <t>LN036</t>
  </si>
  <si>
    <t>14-11-2024</t>
  </si>
  <si>
    <t>LN037</t>
  </si>
  <si>
    <t>02-01-2024</t>
  </si>
  <si>
    <t>LN038</t>
  </si>
  <si>
    <t>20-04-2025</t>
  </si>
  <si>
    <t>LN039</t>
  </si>
  <si>
    <t>Amit Paul</t>
  </si>
  <si>
    <t>22-06-2024</t>
  </si>
  <si>
    <t>LN040</t>
  </si>
  <si>
    <t>Rahul Ghosh</t>
  </si>
  <si>
    <t>26-02-2024</t>
  </si>
  <si>
    <t>LN041</t>
  </si>
  <si>
    <t>Pooja Ghosh</t>
  </si>
  <si>
    <t>26-11-2024</t>
  </si>
  <si>
    <t>LN042</t>
  </si>
  <si>
    <t>14-01-2024</t>
  </si>
  <si>
    <t>LN043</t>
  </si>
  <si>
    <t>29-12-2024</t>
  </si>
  <si>
    <t>LN044</t>
  </si>
  <si>
    <t>22-08-2024</t>
  </si>
  <si>
    <t>LN045</t>
  </si>
  <si>
    <t>Priya Verma</t>
  </si>
  <si>
    <t>16-03-2025</t>
  </si>
  <si>
    <t>LN046</t>
  </si>
  <si>
    <t>19-07-2024</t>
  </si>
  <si>
    <t>LN047</t>
  </si>
  <si>
    <t>Neha Sharma</t>
  </si>
  <si>
    <t>15-02-2025</t>
  </si>
  <si>
    <t>LN048</t>
  </si>
  <si>
    <t>Priya Sharma</t>
  </si>
  <si>
    <t>29-01-2025</t>
  </si>
  <si>
    <t>LN049</t>
  </si>
  <si>
    <t>Sneha Mitra</t>
  </si>
  <si>
    <t>28-11-2024</t>
  </si>
  <si>
    <t>LN050</t>
  </si>
  <si>
    <t>Karan Dutta</t>
  </si>
  <si>
    <t>24-03-2025</t>
  </si>
  <si>
    <t>LN051</t>
  </si>
  <si>
    <t>Priya Mitra</t>
  </si>
  <si>
    <t>26-05-2024</t>
  </si>
  <si>
    <t>LN052</t>
  </si>
  <si>
    <t>18-02-2024</t>
  </si>
  <si>
    <t>LN053</t>
  </si>
  <si>
    <t>14-02-2024</t>
  </si>
  <si>
    <t>LN054</t>
  </si>
  <si>
    <t>16-08-2024</t>
  </si>
  <si>
    <t>LN055</t>
  </si>
  <si>
    <t>Ananya Verma</t>
  </si>
  <si>
    <t>29-11-2024</t>
  </si>
  <si>
    <t>LN056</t>
  </si>
  <si>
    <t>Ananya Sharma</t>
  </si>
  <si>
    <t>17-10-2024</t>
  </si>
  <si>
    <t>LN057</t>
  </si>
  <si>
    <t>Neha Verma</t>
  </si>
  <si>
    <t>LN058</t>
  </si>
  <si>
    <t>21-06-2024</t>
  </si>
  <si>
    <t>LN059</t>
  </si>
  <si>
    <t>22-11-2024</t>
  </si>
  <si>
    <t>LN060</t>
  </si>
  <si>
    <t>Pooja Sharma</t>
  </si>
  <si>
    <t>06-02-2025</t>
  </si>
  <si>
    <t>LN061</t>
  </si>
  <si>
    <t>Priya Roy</t>
  </si>
  <si>
    <t>13-11-2024</t>
  </si>
  <si>
    <t>LN062</t>
  </si>
  <si>
    <t>Sneha Ghosh</t>
  </si>
  <si>
    <t>19-12-2024</t>
  </si>
  <si>
    <t>LN063</t>
  </si>
  <si>
    <t>Rahul Paul</t>
  </si>
  <si>
    <t>21-03-2024</t>
  </si>
  <si>
    <t>LN064</t>
  </si>
  <si>
    <t>Neha Singh</t>
  </si>
  <si>
    <t>LN065</t>
  </si>
  <si>
    <t>Arjun Sen</t>
  </si>
  <si>
    <t>07-09-2024</t>
  </si>
  <si>
    <t>LN066</t>
  </si>
  <si>
    <t>Amit Verma</t>
  </si>
  <si>
    <t>18-06-2024</t>
  </si>
  <si>
    <t>LN067</t>
  </si>
  <si>
    <t>20-04-2024</t>
  </si>
  <si>
    <t>LN068</t>
  </si>
  <si>
    <t>01-02-2025</t>
  </si>
  <si>
    <t>LN069</t>
  </si>
  <si>
    <t>26-03-2024</t>
  </si>
  <si>
    <t>LN070</t>
  </si>
  <si>
    <t>28-10-2024</t>
  </si>
  <si>
    <t>LN071</t>
  </si>
  <si>
    <t>23-12-2024</t>
  </si>
  <si>
    <t>LN072</t>
  </si>
  <si>
    <t>10-03-2025</t>
  </si>
  <si>
    <t>LN073</t>
  </si>
  <si>
    <t>07-12-2024</t>
  </si>
  <si>
    <t>LN074</t>
  </si>
  <si>
    <t>25-11-2024</t>
  </si>
  <si>
    <t>LN075</t>
  </si>
  <si>
    <t>Amit Singh</t>
  </si>
  <si>
    <t>02-03-2024</t>
  </si>
  <si>
    <t>LN076</t>
  </si>
  <si>
    <t>Sneha Das</t>
  </si>
  <si>
    <t>03-08-2024</t>
  </si>
  <si>
    <t>LN077</t>
  </si>
  <si>
    <t>05-05-2024</t>
  </si>
  <si>
    <t>LN078</t>
  </si>
  <si>
    <t>01-10-2024</t>
  </si>
  <si>
    <t>LN079</t>
  </si>
  <si>
    <t>Rahul Sen</t>
  </si>
  <si>
    <t>13-09-2024</t>
  </si>
  <si>
    <t>LN080</t>
  </si>
  <si>
    <t>Karan Singh</t>
  </si>
  <si>
    <t>06-03-2025</t>
  </si>
  <si>
    <t>LN081</t>
  </si>
  <si>
    <t>23-10-2024</t>
  </si>
  <si>
    <t>LN082</t>
  </si>
  <si>
    <t>LN083</t>
  </si>
  <si>
    <t>24-02-2025</t>
  </si>
  <si>
    <t>LN084</t>
  </si>
  <si>
    <t>Neha Dutta</t>
  </si>
  <si>
    <t>08-01-2024</t>
  </si>
  <si>
    <t>LN085</t>
  </si>
  <si>
    <t>Karan Sen</t>
  </si>
  <si>
    <t>10-11-2024</t>
  </si>
  <si>
    <t>LN086</t>
  </si>
  <si>
    <t>Arjun Mitra</t>
  </si>
  <si>
    <t>25-12-2024</t>
  </si>
  <si>
    <t>LN087</t>
  </si>
  <si>
    <t>09-01-2024</t>
  </si>
  <si>
    <t>LN088</t>
  </si>
  <si>
    <t>09-05-2024</t>
  </si>
  <si>
    <t>LN089</t>
  </si>
  <si>
    <t>18-01-2025</t>
  </si>
  <si>
    <t>LN090</t>
  </si>
  <si>
    <t>Amit Sen</t>
  </si>
  <si>
    <t>21-09-2024</t>
  </si>
  <si>
    <t>LN091</t>
  </si>
  <si>
    <t>Rohan Paul</t>
  </si>
  <si>
    <t>LN092</t>
  </si>
  <si>
    <t>18-04-2025</t>
  </si>
  <si>
    <t>LN093</t>
  </si>
  <si>
    <t>03-11-2024</t>
  </si>
  <si>
    <t>LN094</t>
  </si>
  <si>
    <t>Ananya Roy</t>
  </si>
  <si>
    <t>LN095</t>
  </si>
  <si>
    <t>LN096</t>
  </si>
  <si>
    <t>Neha Roy</t>
  </si>
  <si>
    <t>25-02-2025</t>
  </si>
  <si>
    <t>LN097</t>
  </si>
  <si>
    <t>Sneha Sen</t>
  </si>
  <si>
    <t>21-11-2024</t>
  </si>
  <si>
    <t>LN098</t>
  </si>
  <si>
    <t>LN099</t>
  </si>
  <si>
    <t>03-09-2024</t>
  </si>
  <si>
    <t>LN100</t>
  </si>
  <si>
    <t>Amit Mitra</t>
  </si>
  <si>
    <t>05-05-2025</t>
  </si>
  <si>
    <t>Loan_ID</t>
  </si>
  <si>
    <t>Customer_Name</t>
  </si>
  <si>
    <t>Loan_Type</t>
  </si>
  <si>
    <t>Loan_Amount</t>
  </si>
  <si>
    <t>Interest_Rate</t>
  </si>
  <si>
    <t>Duration_Years</t>
  </si>
  <si>
    <t>EMI_Start_Date</t>
  </si>
  <si>
    <t>Credit_Score</t>
  </si>
  <si>
    <t>Loan_Status</t>
  </si>
  <si>
    <t>Customer Name</t>
  </si>
  <si>
    <t>Loan Type</t>
  </si>
  <si>
    <t>Loan  ID</t>
  </si>
  <si>
    <t>Loan Amt.</t>
  </si>
  <si>
    <t>Interest rate</t>
  </si>
  <si>
    <t>Duration (yrs)</t>
  </si>
  <si>
    <t>EMI Start Date</t>
  </si>
  <si>
    <t>Credit Score</t>
  </si>
  <si>
    <t>Loan Status</t>
  </si>
  <si>
    <t>Monthly EMI</t>
  </si>
  <si>
    <t>Total Payable</t>
  </si>
  <si>
    <t>Total Interest</t>
  </si>
  <si>
    <t>Amortization Table</t>
  </si>
  <si>
    <t>EMI No.</t>
  </si>
  <si>
    <t>Payment</t>
  </si>
  <si>
    <t>Principle Paid</t>
  </si>
  <si>
    <t>Interest Paid</t>
  </si>
  <si>
    <t>Extra Payment</t>
  </si>
  <si>
    <t>Outstanding</t>
  </si>
  <si>
    <t>Loan Amount</t>
  </si>
  <si>
    <t>Tenure_Months</t>
  </si>
  <si>
    <t>Start_Date</t>
  </si>
  <si>
    <t>Status</t>
  </si>
  <si>
    <t>₹954,170</t>
  </si>
  <si>
    <t>13.99%</t>
  </si>
  <si>
    <t>7-03-2024</t>
  </si>
  <si>
    <t>₹320,060</t>
  </si>
  <si>
    <t>13.33</t>
  </si>
  <si>
    <t>3-11-2024</t>
  </si>
  <si>
    <t xml:space="preserve"> Ananya Singh </t>
  </si>
  <si>
    <t>₹3394642</t>
  </si>
  <si>
    <t>10.37%</t>
  </si>
  <si>
    <t>closed</t>
  </si>
  <si>
    <t>₹5,884,628</t>
  </si>
  <si>
    <t>15.03%</t>
  </si>
  <si>
    <t>8-02-2024</t>
  </si>
  <si>
    <t>₹2,207,405</t>
  </si>
  <si>
    <t>8.49%</t>
  </si>
  <si>
    <t>6-10-2024</t>
  </si>
  <si>
    <t xml:space="preserve"> Amit Roy </t>
  </si>
  <si>
    <t>₹1,768,307</t>
  </si>
  <si>
    <t>8.62%</t>
  </si>
  <si>
    <t>26-12-2024</t>
  </si>
  <si>
    <t xml:space="preserve"> Pooja Roy </t>
  </si>
  <si>
    <t>₹4,522,552</t>
  </si>
  <si>
    <t>9.17%</t>
  </si>
  <si>
    <t>22-01-2024</t>
  </si>
  <si>
    <t>₹1,609,223</t>
  </si>
  <si>
    <t>8.68%</t>
  </si>
  <si>
    <t>23-07-2024</t>
  </si>
  <si>
    <t>₹2,241,505</t>
  </si>
  <si>
    <t>8.7%</t>
  </si>
  <si>
    <t>15-02-2024</t>
  </si>
  <si>
    <t>₹1,099,522</t>
  </si>
  <si>
    <t>8.29%</t>
  </si>
  <si>
    <t>16-12-2024</t>
  </si>
  <si>
    <t>pending</t>
  </si>
  <si>
    <t>₹2,965,263</t>
  </si>
  <si>
    <t>10.81</t>
  </si>
  <si>
    <t>4-01-2024</t>
  </si>
  <si>
    <t xml:space="preserve"> Rohan Roy </t>
  </si>
  <si>
    <t>₹2292105</t>
  </si>
  <si>
    <t>8.44</t>
  </si>
  <si>
    <t>17-05-2024</t>
  </si>
  <si>
    <t>₹3,968,888</t>
  </si>
  <si>
    <t>14.18%</t>
  </si>
  <si>
    <t>26-01-2024</t>
  </si>
  <si>
    <t>₹1,812,378</t>
  </si>
  <si>
    <t>10.58</t>
  </si>
  <si>
    <t>1-10-2024</t>
  </si>
  <si>
    <t>₹4,867,390</t>
  </si>
  <si>
    <t>15.6%</t>
  </si>
  <si>
    <t>16-03-2024</t>
  </si>
  <si>
    <t>BUSINESS LOAN</t>
  </si>
  <si>
    <t>₹1934309</t>
  </si>
  <si>
    <t>7.1%</t>
  </si>
  <si>
    <t>2-12-2024</t>
  </si>
  <si>
    <t>₹3,644,886</t>
  </si>
  <si>
    <t>8.12%</t>
  </si>
  <si>
    <t>7-05-2024</t>
  </si>
  <si>
    <t>₹7263224</t>
  </si>
  <si>
    <t>12.95%</t>
  </si>
  <si>
    <t>14/04/2024</t>
  </si>
  <si>
    <t>₹1427267</t>
  </si>
  <si>
    <t>14.81%</t>
  </si>
  <si>
    <t>22/07/2024</t>
  </si>
  <si>
    <t>₹4,121,632</t>
  </si>
  <si>
    <t>11.58%</t>
  </si>
  <si>
    <t xml:space="preserve"> Priya Singh </t>
  </si>
  <si>
    <t>₹280606</t>
  </si>
  <si>
    <t>₹4,580,402</t>
  </si>
  <si>
    <t>13.51%</t>
  </si>
  <si>
    <t>25-04-2024</t>
  </si>
  <si>
    <t>₹1,469,129</t>
  </si>
  <si>
    <t>7.73</t>
  </si>
  <si>
    <t>11-04-2024</t>
  </si>
  <si>
    <t>₹5,722,321</t>
  </si>
  <si>
    <t>9.84%</t>
  </si>
  <si>
    <t>1/03/2024</t>
  </si>
  <si>
    <t>₹6,579,219</t>
  </si>
  <si>
    <t>13.01%</t>
  </si>
  <si>
    <t>19-01-2024</t>
  </si>
  <si>
    <t>₹347,414</t>
  </si>
  <si>
    <t>14.04</t>
  </si>
  <si>
    <t>10-07-2024</t>
  </si>
  <si>
    <t>₹5,684,091</t>
  </si>
  <si>
    <t>15.15%</t>
  </si>
  <si>
    <t>17-09-2024</t>
  </si>
  <si>
    <t>₹3,989,175</t>
  </si>
  <si>
    <t>14.21%</t>
  </si>
  <si>
    <t>16-02-2024</t>
  </si>
  <si>
    <t>₹5,008,800</t>
  </si>
  <si>
    <t>15.19%</t>
  </si>
  <si>
    <t>₹5,664,962</t>
  </si>
  <si>
    <t>12.68%</t>
  </si>
  <si>
    <t>2-04-2024</t>
  </si>
  <si>
    <t>₹513,791</t>
  </si>
  <si>
    <t>8.78%</t>
  </si>
  <si>
    <t>14-06-2024</t>
  </si>
  <si>
    <t>₹6,018,126</t>
  </si>
  <si>
    <t>14.28%</t>
  </si>
  <si>
    <t>4-02-2024</t>
  </si>
  <si>
    <t>₹2223326</t>
  </si>
  <si>
    <t>10.02%</t>
  </si>
  <si>
    <t>28-06-2024</t>
  </si>
  <si>
    <t>₹3,908,430</t>
  </si>
  <si>
    <t>12.39%</t>
  </si>
  <si>
    <t>15-05-2024</t>
  </si>
  <si>
    <t>₹7,938,881</t>
  </si>
  <si>
    <t>9.28%</t>
  </si>
  <si>
    <t>25/01/2024</t>
  </si>
  <si>
    <t>CAR LOAN</t>
  </si>
  <si>
    <t>₹3,119,423</t>
  </si>
  <si>
    <t>10.18</t>
  </si>
  <si>
    <t>8-08-2024</t>
  </si>
  <si>
    <t>₹2,085,175</t>
  </si>
  <si>
    <t>14.2%</t>
  </si>
  <si>
    <t>26-08-2024</t>
  </si>
  <si>
    <t>active</t>
  </si>
  <si>
    <t>₹2,218,952</t>
  </si>
  <si>
    <t xml:space="preserve"> Neha Sharma </t>
  </si>
  <si>
    <t>₹3986736</t>
  </si>
  <si>
    <t>12.08%</t>
  </si>
  <si>
    <t>21/12/2024</t>
  </si>
  <si>
    <t>₹2,824,749</t>
  </si>
  <si>
    <t>15.44%</t>
  </si>
  <si>
    <t>5-08-2024</t>
  </si>
  <si>
    <t>₹3,518,533</t>
  </si>
  <si>
    <t>12.19</t>
  </si>
  <si>
    <t>₹2,826,347</t>
  </si>
  <si>
    <t>13.23</t>
  </si>
  <si>
    <t>₹3,599,684</t>
  </si>
  <si>
    <t>13.46%</t>
  </si>
  <si>
    <t>12-12-2024</t>
  </si>
  <si>
    <t>₹351,917</t>
  </si>
  <si>
    <t>15.47%</t>
  </si>
  <si>
    <t>9-08-2024</t>
  </si>
  <si>
    <t>₹1,970,510</t>
  </si>
  <si>
    <t>10.52%</t>
  </si>
  <si>
    <t>24-10-2024</t>
  </si>
  <si>
    <t>₹2,914,398</t>
  </si>
  <si>
    <t>14.8%</t>
  </si>
  <si>
    <t>19-09-2024</t>
  </si>
  <si>
    <t>₹301,909</t>
  </si>
  <si>
    <t>12.71%</t>
  </si>
  <si>
    <t>27-08-2024</t>
  </si>
  <si>
    <t>₹3,888,936</t>
  </si>
  <si>
    <t>10.11%</t>
  </si>
  <si>
    <t>28-04-2024</t>
  </si>
  <si>
    <t>₹3,252,394</t>
  </si>
  <si>
    <t>9.74%</t>
  </si>
  <si>
    <t>20-06-2024</t>
  </si>
  <si>
    <t>₹4097715</t>
  </si>
  <si>
    <t>9.49%</t>
  </si>
  <si>
    <t>16-10-2024</t>
  </si>
  <si>
    <t>₹6540055</t>
  </si>
  <si>
    <t>10.43%</t>
  </si>
  <si>
    <t>3-05-2024</t>
  </si>
  <si>
    <t>EDUCATION LOAN</t>
  </si>
  <si>
    <t>₹6,563,593</t>
  </si>
  <si>
    <t>15.33%</t>
  </si>
  <si>
    <t>12-06-2024</t>
  </si>
  <si>
    <t>₹5,101,197</t>
  </si>
  <si>
    <t>10-02-2024</t>
  </si>
  <si>
    <t>₹3,554,634</t>
  </si>
  <si>
    <t>12.92%</t>
  </si>
  <si>
    <t>6-01-2024</t>
  </si>
  <si>
    <t>HOME LOAN</t>
  </si>
  <si>
    <t>₹4,770,320</t>
  </si>
  <si>
    <t>8.46%</t>
  </si>
  <si>
    <t>₹6,645,366</t>
  </si>
  <si>
    <t>8.92%</t>
  </si>
  <si>
    <t>₹1,208,421</t>
  </si>
  <si>
    <t>10.7%</t>
  </si>
  <si>
    <t>₹2,619,445</t>
  </si>
  <si>
    <t>7.55%</t>
  </si>
  <si>
    <t>9-09-2024</t>
  </si>
  <si>
    <t>₹1,522,673</t>
  </si>
  <si>
    <t>14.24%</t>
  </si>
  <si>
    <t>22/02/2024</t>
  </si>
  <si>
    <t>₹5,352,265</t>
  </si>
  <si>
    <t>13.53%</t>
  </si>
  <si>
    <t>₹3565166</t>
  </si>
  <si>
    <t>15.51%</t>
  </si>
  <si>
    <t>9/04/2024</t>
  </si>
  <si>
    <t>₹1,176,095</t>
  </si>
  <si>
    <t>14.46%</t>
  </si>
  <si>
    <t>₹7,514,997</t>
  </si>
  <si>
    <t>9.71%</t>
  </si>
  <si>
    <t>₹2,521,812</t>
  </si>
  <si>
    <t>9.03%</t>
  </si>
  <si>
    <t>₹4513565</t>
  </si>
  <si>
    <t xml:space="preserve"> Karan Mitra </t>
  </si>
  <si>
    <t>₹7,806,008</t>
  </si>
  <si>
    <t>12.69%</t>
  </si>
  <si>
    <t>24-05-2024</t>
  </si>
  <si>
    <t>₹322,447</t>
  </si>
  <si>
    <t>15.71%</t>
  </si>
  <si>
    <t>19-10-2024</t>
  </si>
  <si>
    <t>₹7718994</t>
  </si>
  <si>
    <t>13.02%</t>
  </si>
  <si>
    <t>8/03/2024</t>
  </si>
  <si>
    <t>PERSONAL LOAN</t>
  </si>
  <si>
    <t>₹1,059,159</t>
  </si>
  <si>
    <t>15.3%</t>
  </si>
  <si>
    <t>10-01-2024</t>
  </si>
  <si>
    <t xml:space="preserve"> Priya Verma </t>
  </si>
  <si>
    <t>₹5,115,982</t>
  </si>
  <si>
    <t>8.6%</t>
  </si>
  <si>
    <t>16-09-2024</t>
  </si>
  <si>
    <t>₹552,233</t>
  </si>
  <si>
    <t>8.31%</t>
  </si>
  <si>
    <t>2-10-2024</t>
  </si>
  <si>
    <t>₹5465534</t>
  </si>
  <si>
    <t>13.73%</t>
  </si>
  <si>
    <t>9-06-2024</t>
  </si>
  <si>
    <t>₹1,497,661</t>
  </si>
  <si>
    <t>15.02%</t>
  </si>
  <si>
    <t>19-08-2024</t>
  </si>
  <si>
    <t>₹4,168,408</t>
  </si>
  <si>
    <t>9.18%</t>
  </si>
  <si>
    <t>8-06-2024</t>
  </si>
  <si>
    <t>₹770,202</t>
  </si>
  <si>
    <t>13.58%</t>
  </si>
  <si>
    <t>23-04-2024</t>
  </si>
  <si>
    <t>₹2,214,310</t>
  </si>
  <si>
    <t>10.17%</t>
  </si>
  <si>
    <t>8-07-2024</t>
  </si>
  <si>
    <t>₹5,905,643</t>
  </si>
  <si>
    <t>11.57%</t>
  </si>
  <si>
    <t>11-12-2024</t>
  </si>
  <si>
    <t>₹3,004,309</t>
  </si>
  <si>
    <t>10.98%</t>
  </si>
  <si>
    <t>24-03-2024</t>
  </si>
  <si>
    <t>₹6,274,431</t>
  </si>
  <si>
    <t>6-11-2024</t>
  </si>
  <si>
    <t>₹7,882,106</t>
  </si>
  <si>
    <t>10.45%</t>
  </si>
  <si>
    <t>12/08/2024</t>
  </si>
  <si>
    <t>₹5,883,984</t>
  </si>
  <si>
    <t>12.78%</t>
  </si>
  <si>
    <t>2-06-2024</t>
  </si>
  <si>
    <t>₹6,352,912</t>
  </si>
  <si>
    <t>7.82%</t>
  </si>
  <si>
    <t>27-01-2024</t>
  </si>
  <si>
    <t>₹5959150</t>
  </si>
  <si>
    <t>8.93%</t>
  </si>
  <si>
    <t>12-07-2024</t>
  </si>
  <si>
    <t>₹6,917,942</t>
  </si>
  <si>
    <t>16/03/2024</t>
  </si>
  <si>
    <t>₹5,715,205</t>
  </si>
  <si>
    <t>10.78%</t>
  </si>
  <si>
    <t>17-03-2024</t>
  </si>
  <si>
    <t>₹2,292,698</t>
  </si>
  <si>
    <t>12.61%</t>
  </si>
  <si>
    <t>₹6,102,502</t>
  </si>
  <si>
    <t>8.41%</t>
  </si>
  <si>
    <t>₹6,068,499</t>
  </si>
  <si>
    <t>14.3%</t>
  </si>
  <si>
    <t>1-09-2024</t>
  </si>
  <si>
    <t>₹3,874,451</t>
  </si>
  <si>
    <t>24-11-2024</t>
  </si>
  <si>
    <t>₹4,153,232</t>
  </si>
  <si>
    <t>10.99%</t>
  </si>
  <si>
    <t>10/05/2024</t>
  </si>
  <si>
    <t>13.78%</t>
  </si>
  <si>
    <t>1/02/2024</t>
  </si>
  <si>
    <t>₹5,923,447</t>
  </si>
  <si>
    <t>7.3%</t>
  </si>
  <si>
    <t>₹437,511</t>
  </si>
  <si>
    <t>12.11%</t>
  </si>
  <si>
    <t>26-07-2024</t>
  </si>
  <si>
    <t>₹6,973,693</t>
  </si>
  <si>
    <t>10.96%</t>
  </si>
  <si>
    <t>₹5,480,034</t>
  </si>
  <si>
    <t>10.19%</t>
  </si>
  <si>
    <t>16-01-2024</t>
  </si>
  <si>
    <t>₹6,797,941</t>
  </si>
  <si>
    <t>15.86%</t>
  </si>
  <si>
    <t>₹2,124,016</t>
  </si>
  <si>
    <t>12.83</t>
  </si>
  <si>
    <t>22-10-2024</t>
  </si>
  <si>
    <t>₹222,996</t>
  </si>
  <si>
    <t>14.19%</t>
  </si>
  <si>
    <t>12-10-2024</t>
  </si>
  <si>
    <t xml:space="preserve"> Sneha Paul </t>
  </si>
  <si>
    <t>₹2,261,328</t>
  </si>
  <si>
    <t>10.9%</t>
  </si>
  <si>
    <t>21-04-2024</t>
  </si>
  <si>
    <t>₹304,707</t>
  </si>
  <si>
    <t>9.26%</t>
  </si>
  <si>
    <t>21-08-2024</t>
  </si>
  <si>
    <t>#</t>
  </si>
  <si>
    <t>Technique</t>
  </si>
  <si>
    <t>Common Problem</t>
  </si>
  <si>
    <t>Excel Functions</t>
  </si>
  <si>
    <t>Remove Duplicates</t>
  </si>
  <si>
    <t>Duplicate Loan_ID creates wrong loan analysis</t>
  </si>
  <si>
    <t>COUNTIF, Remove Duplicates</t>
  </si>
  <si>
    <t>Trim Extra Spaces</t>
  </si>
  <si>
    <t>Customer names contain extra spaces</t>
  </si>
  <si>
    <t>TRIM, CLEAN</t>
  </si>
  <si>
    <t>Standardize Loan Type</t>
  </si>
  <si>
    <t>Same loan category written differently</t>
  </si>
  <si>
    <t>UPPER, LOWER, PROPER</t>
  </si>
  <si>
    <t>Fix Currency Format</t>
  </si>
  <si>
    <t>Loan amount stored with ₹ and commas as text</t>
  </si>
  <si>
    <t>SUBSTITUTE, VALUE</t>
  </si>
  <si>
    <t>Convert Interest Rate</t>
  </si>
  <si>
    <t>Interest rates stored as text or mixed formats</t>
  </si>
  <si>
    <t>VALUE, SUBSTITUTE</t>
  </si>
  <si>
    <t>Standardize Date Format</t>
  </si>
  <si>
    <t>EMI start dates have inconsistent formats</t>
  </si>
  <si>
    <t>DATEVALUE, TEXT</t>
  </si>
  <si>
    <t>Handle Missing Values</t>
  </si>
  <si>
    <t>Blank loan type/status breaks PivotTables</t>
  </si>
  <si>
    <t>IF, ISBLANK, IFERROR</t>
  </si>
  <si>
    <t>Validate Credit Scores</t>
  </si>
  <si>
    <t>Invalid credit scores affect analysis</t>
  </si>
  <si>
    <t>IF, AND, MIN, MAX</t>
  </si>
  <si>
    <t>Validate Loan Tenure</t>
  </si>
  <si>
    <t>Negative or unrealistic tenure months</t>
  </si>
  <si>
    <t>Data Validation, IF</t>
  </si>
  <si>
    <t>Standardize Loan Status</t>
  </si>
  <si>
    <t>ACTIVE/active/Closed creates multiple categories</t>
  </si>
  <si>
    <t>PROPER, SUBSTITUTE</t>
  </si>
  <si>
    <t>Remove Non-Numeric Characters</t>
  </si>
  <si>
    <t>Currency symbols break SUM/AVERAGE</t>
  </si>
  <si>
    <t>SUBSTITUTE, VALUE, TRIM</t>
  </si>
  <si>
    <t>Create Loan Categories</t>
  </si>
  <si>
    <t>Raw loan amounts difficult to analyze</t>
  </si>
  <si>
    <t>IF,IFS</t>
  </si>
  <si>
    <t>Split Combined Columns</t>
  </si>
  <si>
    <t>Full address/name stored in one cell</t>
  </si>
  <si>
    <t>LEFT, RIGHT, MID, TEXTSPLIT</t>
  </si>
  <si>
    <t>Combine &amp; Reconcile Columns</t>
  </si>
  <si>
    <t>Create full customer information</t>
  </si>
  <si>
    <t>CONCATENATE, TEXTJOIN, &amp;</t>
  </si>
  <si>
    <t>Validate EMI Inputs</t>
  </si>
  <si>
    <t>Incorrect rate or amount gives wrong EMI</t>
  </si>
  <si>
    <t>IFERROR, Data Validation</t>
  </si>
  <si>
    <t>Format Percentage Columns</t>
  </si>
  <si>
    <t>Interest rate not recognized as %</t>
  </si>
  <si>
    <t>Format Cells, VALUE</t>
  </si>
  <si>
    <t>Convert Dataset into Excel Table</t>
  </si>
  <si>
    <t>Static range breaks dynamic charts</t>
  </si>
  <si>
    <t>Ctrl + T</t>
  </si>
  <si>
    <t>Highlight Data Errors</t>
  </si>
  <si>
    <t>Missing/invalid values hard to detect</t>
  </si>
  <si>
    <t>Conditional Formatting</t>
  </si>
  <si>
    <t>Standardize Text Case</t>
  </si>
  <si>
    <t>Inconsistent customer names in reports</t>
  </si>
  <si>
    <t>PROPER, UPPER</t>
  </si>
  <si>
    <t>Prepare Data for Dashboard</t>
  </si>
  <si>
    <t>Unclean data affects slicers/charts</t>
  </si>
  <si>
    <t>PivotTable Tools, Filters</t>
  </si>
  <si>
    <t>Banking Loan EMI Calculator &amp; Amortization Schedule</t>
  </si>
  <si>
    <t>Raw Data</t>
  </si>
  <si>
    <t>Cleaning Tasks</t>
  </si>
  <si>
    <t>Cleaned Data</t>
  </si>
  <si>
    <t>EMI Calculation</t>
  </si>
  <si>
    <t>Dashboard</t>
  </si>
  <si>
    <t>Instructions</t>
  </si>
  <si>
    <t xml:space="preserve">  BANKING LOAN EMI CALCULATOR — USER GUIDE</t>
  </si>
  <si>
    <t>Navigate this workbook using the sheet tabs. All data flows from Raw Data → Cleaned Data → Analysis.</t>
  </si>
  <si>
    <t xml:space="preserve">  SHEET GUIDE</t>
  </si>
  <si>
    <t>Original uncleaned loan dataset with 100+ records. Do not modify.</t>
  </si>
  <si>
    <t>20-step cleaning checklist with techniques and Excel functions.</t>
  </si>
  <si>
    <t>Fully standardized 100-loan dataset, ready for analysis.</t>
  </si>
  <si>
    <t>Enter a Loan ID to compute EMI, total payable, and interest.</t>
  </si>
  <si>
    <t>Month-by-month repayment breakdown for the selected loan.</t>
  </si>
  <si>
    <t>Pivot Table</t>
  </si>
  <si>
    <t>4 pivot summaries: by Type, Status, Type×Status matrix, Credit Band.</t>
  </si>
  <si>
    <t>KPI cards + 3 charts for executive-level portfolio reporting.</t>
  </si>
  <si>
    <t xml:space="preserve">  EMI CALCULATOR STEPS</t>
  </si>
  <si>
    <t>Step 1</t>
  </si>
  <si>
    <t>Open the 'EMI Calculation' sheet.</t>
  </si>
  <si>
    <t>Step 2</t>
  </si>
  <si>
    <t>Enter a valid Loan ID (e.g. LN005) in the yellow input cell.</t>
  </si>
  <si>
    <t>Step 3</t>
  </si>
  <si>
    <t>Loan details auto-populate via VLOOKUP from Cleaned Data.</t>
  </si>
  <si>
    <t>Step 4</t>
  </si>
  <si>
    <t>Monthly EMI, Total Payable &amp; Total Interest compute instantly.</t>
  </si>
  <si>
    <t>Step 5</t>
  </si>
  <si>
    <t>See 'Amortization Table' for the full month-by-month schedule.</t>
  </si>
  <si>
    <t xml:space="preserve">  DATA NOTES</t>
  </si>
  <si>
    <t>Currency</t>
  </si>
  <si>
    <t>All amounts in Indian Rupees (₹). Values are in absolute figures.</t>
  </si>
  <si>
    <t>Interest Rates</t>
  </si>
  <si>
    <t>Stored as decimals in Cleaned Data (e.g., 0.0819 = 8.19%).</t>
  </si>
  <si>
    <t>Credit Scores</t>
  </si>
  <si>
    <t>Range 300–900. Below 650 = elevated risk; 800+ = excellent.</t>
  </si>
  <si>
    <t>Active = ongoing, Closed = fully repaid, Pending = under review.</t>
  </si>
  <si>
    <t>© Banking Analytics Workbook  |  Corporate Finance &amp; Risk Reporting</t>
  </si>
  <si>
    <t>PORTFOLIO VALUE</t>
  </si>
  <si>
    <t>TOTAL LOANS</t>
  </si>
  <si>
    <t>AVG. LOAN SIZE</t>
  </si>
  <si>
    <t>AVG. INTEREST RATE</t>
  </si>
  <si>
    <t>AVG. CREDIT SCORE</t>
  </si>
  <si>
    <t>Row Labels</t>
  </si>
  <si>
    <t>Grand Total</t>
  </si>
  <si>
    <t>Sum of Credit_Score</t>
  </si>
  <si>
    <t>(All)</t>
  </si>
  <si>
    <t>Count of Loan_ID</t>
  </si>
  <si>
    <t>Sum of Loan_Amount</t>
  </si>
  <si>
    <t>Column Labels</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</si>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</sst>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4" formatCode="_ &quot;₹&quot;\ * #,##0.00_ ;_ &quot;₹&quot;\ * \-#,##0.00_ ;_ &quot;₹&quot;\ * &quot;-&quot;??_ ;_ @_ "/>
    <numFmt numFmtId="164" formatCode="\₹#,##0"/>
    <numFmt numFmtId="165" formatCode="&quot;₹&quot;\ #,##0.00"/>
    <numFmt numFmtId="166" formatCode="[$-F800]dddd\,\ mmmm\ dd\,\ yyyy"/>
  </numFmts>
  <fonts count="14" x14ac:knownFonts="1">
    <font>
      <sz val="11"/>
      <color theme="1"/>
      <name val="Aptos Narrow"/>
      <family val="2"/>
      <scheme val="minor"/>
    </font>
    <font>
      <b/>
      <sz val="11"/>
      <name val="Calibri"/>
    </font>
    <font>
      <sz val="11"/>
      <color theme="1"/>
      <name val="Aptos Narrow"/>
      <family val="2"/>
      <scheme val="minor"/>
    </font>
    <font>
      <b/>
      <sz val="11"/>
      <color theme="1"/>
      <name val="Aptos Narrow"/>
      <family val="2"/>
      <scheme val="minor"/>
    </font>
    <font>
      <b/>
      <sz val="14"/>
      <color theme="1"/>
      <name val="Aptos Narrow"/>
      <family val="2"/>
      <scheme val="minor"/>
    </font>
    <font>
      <b/>
      <sz val="11"/>
      <color rgb="FFFFFFFF"/>
      <name val="Arial"/>
      <family val="2"/>
    </font>
    <font>
      <sz val="10"/>
      <color rgb="FF2C2C2C"/>
      <name val="Arial"/>
      <family val="2"/>
    </font>
    <font>
      <b/>
      <sz val="15"/>
      <color rgb="FFFFFFFF"/>
      <name val="Arial"/>
      <family val="2"/>
    </font>
    <font>
      <sz val="10"/>
      <color rgb="FF5A5A5A"/>
      <name val="Arial"/>
      <family val="2"/>
    </font>
    <font>
      <b/>
      <sz val="10"/>
      <color rgb="FF1B3A6B"/>
      <name val="Arial"/>
      <family val="2"/>
    </font>
    <font>
      <sz val="9"/>
      <color rgb="FF5A5A5A"/>
      <name val="Arial"/>
      <family val="2"/>
    </font>
    <font>
      <b/>
      <sz val="24"/>
      <color theme="1"/>
      <name val="Aptos Narrow"/>
      <family val="2"/>
      <scheme val="minor"/>
    </font>
    <font>
      <u/>
      <sz val="11"/>
      <color theme="10"/>
      <name val="Aptos Narrow"/>
      <family val="2"/>
      <scheme val="minor"/>
    </font>
    <font>
      <u/>
      <sz val="18"/>
      <color theme="4" tint="-0.249977111117893"/>
      <name val="Aptos Narrow"/>
      <family val="2"/>
      <scheme val="minor"/>
    </font>
  </fonts>
  <fills count="11">
    <fill>
      <patternFill patternType="none"/>
    </fill>
    <fill>
      <patternFill patternType="gray125"/>
    </fill>
    <fill>
      <patternFill patternType="solid">
        <fgColor rgb="FF0D7377"/>
        <bgColor rgb="FF156082"/>
      </patternFill>
    </fill>
    <fill>
      <patternFill patternType="solid">
        <fgColor rgb="FFF4F6F9"/>
        <bgColor rgb="FFF2F2F2"/>
      </patternFill>
    </fill>
    <fill>
      <patternFill patternType="solid">
        <fgColor rgb="FFFFFFFF"/>
        <bgColor rgb="FFF4F6F9"/>
      </patternFill>
    </fill>
    <fill>
      <patternFill patternType="solid">
        <fgColor rgb="FF1B3A6B"/>
        <bgColor rgb="FF1A5276"/>
      </patternFill>
    </fill>
    <fill>
      <patternFill patternType="solid">
        <fgColor rgb="FFD6E8F7"/>
        <bgColor rgb="FFD6EAF8"/>
      </patternFill>
    </fill>
    <fill>
      <patternFill patternType="solid">
        <fgColor rgb="FFE8A838"/>
        <bgColor rgb="FFFFCC00"/>
      </patternFill>
    </fill>
    <fill>
      <patternFill patternType="solid">
        <fgColor theme="3" tint="0.749992370372631"/>
        <bgColor indexed="64"/>
      </patternFill>
    </fill>
    <fill>
      <patternFill patternType="solid">
        <fgColor theme="4" tint="0.59999389629810485"/>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2" fillId="0" borderId="0" applyFont="0" applyFill="0" applyBorder="0" applyAlignment="0" applyProtection="0"/>
    <xf numFmtId="44" fontId="2" fillId="0" borderId="0" applyFont="0" applyFill="0" applyBorder="0" applyAlignment="0" applyProtection="0"/>
    <xf numFmtId="0" fontId="12" fillId="0" borderId="0" applyNumberFormat="0" applyFill="0" applyBorder="0" applyAlignment="0" applyProtection="0"/>
  </cellStyleXfs>
  <cellXfs count="38">
    <xf numFmtId="0" fontId="0" fillId="0" borderId="0" xfId="0"/>
    <xf numFmtId="0" fontId="1" fillId="0" borderId="0" xfId="0" applyFont="1"/>
    <xf numFmtId="164" fontId="0" fillId="0" borderId="0" xfId="0" applyNumberFormat="1"/>
    <xf numFmtId="10" fontId="0" fillId="0" borderId="0" xfId="0" applyNumberFormat="1"/>
    <xf numFmtId="165" fontId="0" fillId="0" borderId="0" xfId="0" applyNumberFormat="1"/>
    <xf numFmtId="0" fontId="0" fillId="0" borderId="1" xfId="0" applyBorder="1"/>
    <xf numFmtId="0" fontId="3" fillId="0" borderId="1" xfId="0" applyFont="1" applyBorder="1"/>
    <xf numFmtId="8" fontId="0" fillId="0" borderId="0" xfId="0" applyNumberFormat="1"/>
    <xf numFmtId="0" fontId="0" fillId="0" borderId="0" xfId="0" applyAlignment="1">
      <alignment horizontal="center"/>
    </xf>
    <xf numFmtId="0" fontId="3"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165" fontId="0" fillId="0" borderId="1" xfId="0" applyNumberFormat="1" applyBorder="1" applyAlignment="1">
      <alignment horizontal="left"/>
    </xf>
    <xf numFmtId="9" fontId="0" fillId="0" borderId="1" xfId="1" applyFont="1" applyBorder="1" applyAlignment="1">
      <alignment horizontal="left"/>
    </xf>
    <xf numFmtId="166" fontId="0" fillId="0" borderId="1" xfId="0" applyNumberFormat="1" applyBorder="1" applyAlignment="1">
      <alignment horizontal="left"/>
    </xf>
    <xf numFmtId="8" fontId="0" fillId="0" borderId="1" xfId="0" applyNumberFormat="1" applyBorder="1" applyAlignment="1">
      <alignment horizontal="left"/>
    </xf>
    <xf numFmtId="0" fontId="5"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9" fillId="3" borderId="2" xfId="0" applyFont="1" applyFill="1" applyBorder="1" applyAlignment="1">
      <alignment horizontal="left" vertical="center"/>
    </xf>
    <xf numFmtId="0" fontId="6" fillId="4" borderId="2" xfId="0" applyFont="1" applyFill="1" applyBorder="1" applyAlignment="1">
      <alignment horizontal="left" vertical="center"/>
    </xf>
    <xf numFmtId="0" fontId="4" fillId="8" borderId="1" xfId="0" applyFont="1" applyFill="1" applyBorder="1"/>
    <xf numFmtId="44" fontId="0" fillId="0" borderId="0" xfId="2" applyFont="1"/>
    <xf numFmtId="9" fontId="0" fillId="0" borderId="0" xfId="1" applyFont="1"/>
    <xf numFmtId="0" fontId="0" fillId="0" borderId="0" xfId="0" pivotButton="1"/>
    <xf numFmtId="0" fontId="3" fillId="0" borderId="1" xfId="0" applyFont="1" applyBorder="1" applyAlignment="1">
      <alignment horizontal="center"/>
    </xf>
    <xf numFmtId="0" fontId="10" fillId="3" borderId="0" xfId="0" applyFont="1" applyFill="1" applyAlignment="1">
      <alignment horizontal="center" vertical="center"/>
    </xf>
    <xf numFmtId="0" fontId="7" fillId="5" borderId="0" xfId="0" applyFont="1" applyFill="1" applyAlignment="1">
      <alignment horizontal="left" vertical="center"/>
    </xf>
    <xf numFmtId="0" fontId="8" fillId="6" borderId="0" xfId="0" applyFont="1" applyFill="1" applyAlignment="1">
      <alignment horizontal="center" vertical="center"/>
    </xf>
    <xf numFmtId="0" fontId="5" fillId="2" borderId="0" xfId="0" applyFont="1" applyFill="1" applyAlignment="1">
      <alignment horizontal="left" vertical="center"/>
    </xf>
    <xf numFmtId="0" fontId="5" fillId="7" borderId="0" xfId="0" applyFont="1" applyFill="1" applyAlignment="1">
      <alignment horizontal="left" vertical="center"/>
    </xf>
    <xf numFmtId="0" fontId="5" fillId="5" borderId="0" xfId="0" applyFont="1" applyFill="1" applyAlignment="1">
      <alignment horizontal="left" vertical="center"/>
    </xf>
    <xf numFmtId="0" fontId="0" fillId="0" borderId="0" xfId="0" applyAlignment="1">
      <alignment horizontal="center" vertical="center"/>
    </xf>
    <xf numFmtId="0" fontId="4" fillId="9" borderId="1" xfId="0" applyFont="1" applyFill="1" applyBorder="1" applyAlignment="1">
      <alignment horizontal="center" vertical="center"/>
    </xf>
    <xf numFmtId="0" fontId="13" fillId="10" borderId="1" xfId="3" applyFont="1" applyFill="1" applyBorder="1" applyAlignment="1">
      <alignment horizontal="center" vertical="center"/>
    </xf>
    <xf numFmtId="0" fontId="11" fillId="10" borderId="3" xfId="0" applyFont="1" applyFill="1" applyBorder="1" applyAlignment="1">
      <alignment horizontal="center"/>
    </xf>
    <xf numFmtId="0" fontId="11" fillId="10" borderId="4" xfId="0" applyFont="1" applyFill="1" applyBorder="1" applyAlignment="1">
      <alignment horizontal="center"/>
    </xf>
    <xf numFmtId="0" fontId="11" fillId="10" borderId="5" xfId="0" applyFont="1" applyFill="1" applyBorder="1" applyAlignment="1">
      <alignment horizontal="center"/>
    </xf>
  </cellXfs>
  <cellStyles count="4">
    <cellStyle name="Currency" xfId="2" builtinId="4"/>
    <cellStyle name="Hyperlink" xfId="3" builtinId="8"/>
    <cellStyle name="Normal" xfId="0" builtinId="0"/>
    <cellStyle name="Per cent" xfId="1" builtinId="5"/>
  </cellStyles>
  <dxfs count="3">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400" baseline="0"/>
              <a:t>Total Payable</a:t>
            </a:r>
          </a:p>
        </c:rich>
      </c:tx>
      <c:layout>
        <c:manualLayout>
          <c:xMode val="edge"/>
          <c:yMode val="edge"/>
          <c:x val="0.62474978478993193"/>
          <c:y val="0.1425896183495374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7.7804731913767675E-2"/>
          <c:y val="4.3948926109416267E-2"/>
          <c:w val="0.51679728892558152"/>
          <c:h val="0.8950466735845357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85-4EAD-A178-1240D857EC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85-4EAD-A178-1240D857EC6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('EMI Calculation'!$D$5,'EMI Calculation'!$D$15)</c:f>
              <c:strCache>
                <c:ptCount val="2"/>
                <c:pt idx="0">
                  <c:v>Loan Amount</c:v>
                </c:pt>
                <c:pt idx="1">
                  <c:v>Total Interest</c:v>
                </c:pt>
              </c:strCache>
            </c:strRef>
          </c:cat>
          <c:val>
            <c:numRef>
              <c:f>('EMI Calculation'!$E$5,'EMI Calculation'!$E$15)</c:f>
              <c:numCache>
                <c:formatCode>"₹"#,##0.00_);[Red]\("₹"#,##0.00\)</c:formatCode>
                <c:ptCount val="2"/>
                <c:pt idx="0" formatCode="&quot;₹&quot;\ #,##0.00">
                  <c:v>1824555</c:v>
                </c:pt>
                <c:pt idx="1">
                  <c:v>611844.98925676523</c:v>
                </c:pt>
              </c:numCache>
            </c:numRef>
          </c:val>
          <c:extLst>
            <c:ext xmlns:c16="http://schemas.microsoft.com/office/drawing/2014/chart" uri="{C3380CC4-5D6E-409C-BE32-E72D297353CC}">
              <c16:uniqueId val="{00000000-EFF5-4223-B79D-70E18C289E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496044623401009"/>
          <c:y val="0.43036793432367759"/>
          <c:w val="0.19049684676588835"/>
          <c:h val="0.163909433197399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solidFill>
              <a:schemeClr val="accent1"/>
            </a:solidFill>
            <a:ln>
              <a:noFill/>
            </a:ln>
            <a:effectLst/>
          </c:spPr>
          <c:invertIfNegative val="0"/>
          <c:cat>
            <c:strRef>
              <c:f>Pivot1!$A$4:$A$66</c:f>
              <c:strCache>
                <c:ptCount val="62"/>
                <c:pt idx="0">
                  <c:v>Amit Das</c:v>
                </c:pt>
                <c:pt idx="1">
                  <c:v>Amit Mitra</c:v>
                </c:pt>
                <c:pt idx="2">
                  <c:v>Amit Paul</c:v>
                </c:pt>
                <c:pt idx="3">
                  <c:v>Amit Roy</c:v>
                </c:pt>
                <c:pt idx="4">
                  <c:v>Amit Sen</c:v>
                </c:pt>
                <c:pt idx="5">
                  <c:v>Amit Singh</c:v>
                </c:pt>
                <c:pt idx="6">
                  <c:v>Amit Verma</c:v>
                </c:pt>
                <c:pt idx="7">
                  <c:v>Ananya Das</c:v>
                </c:pt>
                <c:pt idx="8">
                  <c:v>Ananya Dutta</c:v>
                </c:pt>
                <c:pt idx="9">
                  <c:v>Ananya Ghosh</c:v>
                </c:pt>
                <c:pt idx="10">
                  <c:v>Ananya Mitra</c:v>
                </c:pt>
                <c:pt idx="11">
                  <c:v>Ananya Roy</c:v>
                </c:pt>
                <c:pt idx="12">
                  <c:v>Ananya Sharma</c:v>
                </c:pt>
                <c:pt idx="13">
                  <c:v>Ananya Singh</c:v>
                </c:pt>
                <c:pt idx="14">
                  <c:v>Ananya Verma</c:v>
                </c:pt>
                <c:pt idx="15">
                  <c:v>Arjun Das</c:v>
                </c:pt>
                <c:pt idx="16">
                  <c:v>Arjun Dutta</c:v>
                </c:pt>
                <c:pt idx="17">
                  <c:v>Arjun Mitra</c:v>
                </c:pt>
                <c:pt idx="18">
                  <c:v>Arjun Roy</c:v>
                </c:pt>
                <c:pt idx="19">
                  <c:v>Arjun Sen</c:v>
                </c:pt>
                <c:pt idx="20">
                  <c:v>Arjun Singh</c:v>
                </c:pt>
                <c:pt idx="21">
                  <c:v>Karan Dutta</c:v>
                </c:pt>
                <c:pt idx="22">
                  <c:v>Karan Mitra</c:v>
                </c:pt>
                <c:pt idx="23">
                  <c:v>Karan Paul</c:v>
                </c:pt>
                <c:pt idx="24">
                  <c:v>Karan Sen</c:v>
                </c:pt>
                <c:pt idx="25">
                  <c:v>Karan Sharma</c:v>
                </c:pt>
                <c:pt idx="26">
                  <c:v>Karan Singh</c:v>
                </c:pt>
                <c:pt idx="27">
                  <c:v>Neha Dutta</c:v>
                </c:pt>
                <c:pt idx="28">
                  <c:v>Neha Roy</c:v>
                </c:pt>
                <c:pt idx="29">
                  <c:v>Neha Sharma</c:v>
                </c:pt>
                <c:pt idx="30">
                  <c:v>Neha Singh</c:v>
                </c:pt>
                <c:pt idx="31">
                  <c:v>Neha Verma</c:v>
                </c:pt>
                <c:pt idx="32">
                  <c:v>Pooja Ghosh</c:v>
                </c:pt>
                <c:pt idx="33">
                  <c:v>Pooja Roy</c:v>
                </c:pt>
                <c:pt idx="34">
                  <c:v>Pooja Sen</c:v>
                </c:pt>
                <c:pt idx="35">
                  <c:v>Pooja Sharma</c:v>
                </c:pt>
                <c:pt idx="36">
                  <c:v>Pooja Singh</c:v>
                </c:pt>
                <c:pt idx="37">
                  <c:v>Priya Das</c:v>
                </c:pt>
                <c:pt idx="38">
                  <c:v>Priya Mitra</c:v>
                </c:pt>
                <c:pt idx="39">
                  <c:v>Priya Roy</c:v>
                </c:pt>
                <c:pt idx="40">
                  <c:v>Priya Sen</c:v>
                </c:pt>
                <c:pt idx="41">
                  <c:v>Priya Sharma</c:v>
                </c:pt>
                <c:pt idx="42">
                  <c:v>Priya Singh</c:v>
                </c:pt>
                <c:pt idx="43">
                  <c:v>Priya Verma</c:v>
                </c:pt>
                <c:pt idx="44">
                  <c:v>Rahul Ghosh</c:v>
                </c:pt>
                <c:pt idx="45">
                  <c:v>Rahul Paul</c:v>
                </c:pt>
                <c:pt idx="46">
                  <c:v>Rahul Roy</c:v>
                </c:pt>
                <c:pt idx="47">
                  <c:v>Rahul Sen</c:v>
                </c:pt>
                <c:pt idx="48">
                  <c:v>Rahul Verma</c:v>
                </c:pt>
                <c:pt idx="49">
                  <c:v>Rohan Mitra</c:v>
                </c:pt>
                <c:pt idx="50">
                  <c:v>Rohan Paul</c:v>
                </c:pt>
                <c:pt idx="51">
                  <c:v>Rohan Roy</c:v>
                </c:pt>
                <c:pt idx="52">
                  <c:v>Rohan Singh</c:v>
                </c:pt>
                <c:pt idx="53">
                  <c:v>Sneha Das</c:v>
                </c:pt>
                <c:pt idx="54">
                  <c:v>Sneha Dutta</c:v>
                </c:pt>
                <c:pt idx="55">
                  <c:v>Sneha Ghosh</c:v>
                </c:pt>
                <c:pt idx="56">
                  <c:v>Sneha Mitra</c:v>
                </c:pt>
                <c:pt idx="57">
                  <c:v>Sneha Paul</c:v>
                </c:pt>
                <c:pt idx="58">
                  <c:v>Sneha Roy</c:v>
                </c:pt>
                <c:pt idx="59">
                  <c:v>Sneha Sen</c:v>
                </c:pt>
                <c:pt idx="60">
                  <c:v>Sneha Sharma</c:v>
                </c:pt>
                <c:pt idx="61">
                  <c:v>Sneha Verma</c:v>
                </c:pt>
              </c:strCache>
            </c:strRef>
          </c:cat>
          <c:val>
            <c:numRef>
              <c:f>Pivot1!$B$4:$B$66</c:f>
              <c:numCache>
                <c:formatCode>General</c:formatCode>
                <c:ptCount val="62"/>
                <c:pt idx="0">
                  <c:v>875</c:v>
                </c:pt>
                <c:pt idx="1">
                  <c:v>767</c:v>
                </c:pt>
                <c:pt idx="2">
                  <c:v>1595</c:v>
                </c:pt>
                <c:pt idx="3">
                  <c:v>3001</c:v>
                </c:pt>
                <c:pt idx="4">
                  <c:v>763</c:v>
                </c:pt>
                <c:pt idx="5">
                  <c:v>755</c:v>
                </c:pt>
                <c:pt idx="6">
                  <c:v>713</c:v>
                </c:pt>
                <c:pt idx="7">
                  <c:v>1427</c:v>
                </c:pt>
                <c:pt idx="8">
                  <c:v>1691</c:v>
                </c:pt>
                <c:pt idx="9">
                  <c:v>821</c:v>
                </c:pt>
                <c:pt idx="10">
                  <c:v>2272</c:v>
                </c:pt>
                <c:pt idx="11">
                  <c:v>751</c:v>
                </c:pt>
                <c:pt idx="12">
                  <c:v>751</c:v>
                </c:pt>
                <c:pt idx="13">
                  <c:v>1436</c:v>
                </c:pt>
                <c:pt idx="14">
                  <c:v>869</c:v>
                </c:pt>
                <c:pt idx="15">
                  <c:v>664</c:v>
                </c:pt>
                <c:pt idx="16">
                  <c:v>1461</c:v>
                </c:pt>
                <c:pt idx="17">
                  <c:v>679</c:v>
                </c:pt>
                <c:pt idx="18">
                  <c:v>875</c:v>
                </c:pt>
                <c:pt idx="19">
                  <c:v>653</c:v>
                </c:pt>
                <c:pt idx="20">
                  <c:v>679</c:v>
                </c:pt>
                <c:pt idx="21">
                  <c:v>1513</c:v>
                </c:pt>
                <c:pt idx="22">
                  <c:v>1585</c:v>
                </c:pt>
                <c:pt idx="23">
                  <c:v>2016</c:v>
                </c:pt>
                <c:pt idx="24">
                  <c:v>1561</c:v>
                </c:pt>
                <c:pt idx="25">
                  <c:v>825</c:v>
                </c:pt>
                <c:pt idx="26">
                  <c:v>838</c:v>
                </c:pt>
                <c:pt idx="27">
                  <c:v>725</c:v>
                </c:pt>
                <c:pt idx="28">
                  <c:v>895</c:v>
                </c:pt>
                <c:pt idx="29">
                  <c:v>718</c:v>
                </c:pt>
                <c:pt idx="30">
                  <c:v>762</c:v>
                </c:pt>
                <c:pt idx="31">
                  <c:v>717</c:v>
                </c:pt>
                <c:pt idx="32">
                  <c:v>651</c:v>
                </c:pt>
                <c:pt idx="33">
                  <c:v>2195</c:v>
                </c:pt>
                <c:pt idx="34">
                  <c:v>1394</c:v>
                </c:pt>
                <c:pt idx="35">
                  <c:v>1482</c:v>
                </c:pt>
                <c:pt idx="36">
                  <c:v>1560</c:v>
                </c:pt>
                <c:pt idx="37">
                  <c:v>1559</c:v>
                </c:pt>
                <c:pt idx="38">
                  <c:v>848</c:v>
                </c:pt>
                <c:pt idx="39">
                  <c:v>864</c:v>
                </c:pt>
                <c:pt idx="40">
                  <c:v>892</c:v>
                </c:pt>
                <c:pt idx="41">
                  <c:v>735</c:v>
                </c:pt>
                <c:pt idx="42">
                  <c:v>752</c:v>
                </c:pt>
                <c:pt idx="43">
                  <c:v>2062</c:v>
                </c:pt>
                <c:pt idx="44">
                  <c:v>1377</c:v>
                </c:pt>
                <c:pt idx="45">
                  <c:v>890</c:v>
                </c:pt>
                <c:pt idx="46">
                  <c:v>2417</c:v>
                </c:pt>
                <c:pt idx="47">
                  <c:v>769</c:v>
                </c:pt>
                <c:pt idx="48">
                  <c:v>2418</c:v>
                </c:pt>
                <c:pt idx="49">
                  <c:v>1402</c:v>
                </c:pt>
                <c:pt idx="50">
                  <c:v>1653</c:v>
                </c:pt>
                <c:pt idx="51">
                  <c:v>3883</c:v>
                </c:pt>
                <c:pt idx="52">
                  <c:v>1582</c:v>
                </c:pt>
                <c:pt idx="53">
                  <c:v>714</c:v>
                </c:pt>
                <c:pt idx="54">
                  <c:v>679</c:v>
                </c:pt>
                <c:pt idx="55">
                  <c:v>1438</c:v>
                </c:pt>
                <c:pt idx="56">
                  <c:v>696</c:v>
                </c:pt>
                <c:pt idx="57">
                  <c:v>1484</c:v>
                </c:pt>
                <c:pt idx="58">
                  <c:v>1572</c:v>
                </c:pt>
                <c:pt idx="59">
                  <c:v>706</c:v>
                </c:pt>
                <c:pt idx="60">
                  <c:v>881</c:v>
                </c:pt>
                <c:pt idx="61">
                  <c:v>799</c:v>
                </c:pt>
              </c:numCache>
            </c:numRef>
          </c:val>
          <c:extLst>
            <c:ext xmlns:c16="http://schemas.microsoft.com/office/drawing/2014/chart" uri="{C3380CC4-5D6E-409C-BE32-E72D297353CC}">
              <c16:uniqueId val="{00000000-5997-4A18-9FF3-B18C2B125014}"/>
            </c:ext>
          </c:extLst>
        </c:ser>
        <c:dLbls>
          <c:showLegendKey val="0"/>
          <c:showVal val="0"/>
          <c:showCatName val="0"/>
          <c:showSerName val="0"/>
          <c:showPercent val="0"/>
          <c:showBubbleSize val="0"/>
        </c:dLbls>
        <c:gapWidth val="219"/>
        <c:overlap val="-27"/>
        <c:axId val="577603407"/>
        <c:axId val="577604847"/>
      </c:barChart>
      <c:catAx>
        <c:axId val="57760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04847"/>
        <c:crosses val="autoZero"/>
        <c:auto val="1"/>
        <c:lblAlgn val="ctr"/>
        <c:lblOffset val="100"/>
        <c:noMultiLvlLbl val="0"/>
      </c:catAx>
      <c:valAx>
        <c:axId val="57760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Pivot2!$P$3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05-482A-B67A-401A70A5DC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05-482A-B67A-401A70A5DC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05-482A-B67A-401A70A5DC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05-482A-B67A-401A70A5DC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05-482A-B67A-401A70A5DC5D}"/>
              </c:ext>
            </c:extLst>
          </c:dPt>
          <c:cat>
            <c:strRef>
              <c:f>Pivot2!$O$4:$O$9</c:f>
              <c:strCache>
                <c:ptCount val="5"/>
                <c:pt idx="0">
                  <c:v>Business Loan</c:v>
                </c:pt>
                <c:pt idx="1">
                  <c:v>Car Loan</c:v>
                </c:pt>
                <c:pt idx="2">
                  <c:v>Education Loan</c:v>
                </c:pt>
                <c:pt idx="3">
                  <c:v>Home Loan</c:v>
                </c:pt>
                <c:pt idx="4">
                  <c:v>Personal Loan</c:v>
                </c:pt>
              </c:strCache>
            </c:strRef>
          </c:cat>
          <c:val>
            <c:numRef>
              <c:f>Pivot2!$P$4:$P$9</c:f>
              <c:numCache>
                <c:formatCode>General</c:formatCode>
                <c:ptCount val="5"/>
                <c:pt idx="0">
                  <c:v>15</c:v>
                </c:pt>
                <c:pt idx="1">
                  <c:v>21</c:v>
                </c:pt>
                <c:pt idx="2">
                  <c:v>24</c:v>
                </c:pt>
                <c:pt idx="3">
                  <c:v>15</c:v>
                </c:pt>
                <c:pt idx="4">
                  <c:v>25</c:v>
                </c:pt>
              </c:numCache>
            </c:numRef>
          </c:val>
          <c:extLst>
            <c:ext xmlns:c16="http://schemas.microsoft.com/office/drawing/2014/chart" uri="{C3380CC4-5D6E-409C-BE32-E72D297353CC}">
              <c16:uniqueId val="{00000000-201E-46D8-9D6F-D768F07128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cat>
            <c:strRef>
              <c:f>Pivot3!$A$4:$A$9</c:f>
              <c:strCache>
                <c:ptCount val="5"/>
                <c:pt idx="0">
                  <c:v>Business Loan</c:v>
                </c:pt>
                <c:pt idx="1">
                  <c:v>Car Loan</c:v>
                </c:pt>
                <c:pt idx="2">
                  <c:v>Education Loan</c:v>
                </c:pt>
                <c:pt idx="3">
                  <c:v>Home Loan</c:v>
                </c:pt>
                <c:pt idx="4">
                  <c:v>Personal Loan</c:v>
                </c:pt>
              </c:strCache>
            </c:strRef>
          </c:cat>
          <c:val>
            <c:numRef>
              <c:f>Pivot3!$B$4:$B$9</c:f>
              <c:numCache>
                <c:formatCode>General</c:formatCode>
                <c:ptCount val="5"/>
                <c:pt idx="0">
                  <c:v>37038914</c:v>
                </c:pt>
                <c:pt idx="1">
                  <c:v>20752761</c:v>
                </c:pt>
                <c:pt idx="2">
                  <c:v>34111375</c:v>
                </c:pt>
                <c:pt idx="3">
                  <c:v>79135343</c:v>
                </c:pt>
                <c:pt idx="4">
                  <c:v>27278189</c:v>
                </c:pt>
              </c:numCache>
            </c:numRef>
          </c:val>
          <c:extLst>
            <c:ext xmlns:c16="http://schemas.microsoft.com/office/drawing/2014/chart" uri="{C3380CC4-5D6E-409C-BE32-E72D297353CC}">
              <c16:uniqueId val="{00000000-87FC-49C8-8154-1B870682E444}"/>
            </c:ext>
          </c:extLst>
        </c:ser>
        <c:dLbls>
          <c:showLegendKey val="0"/>
          <c:showVal val="0"/>
          <c:showCatName val="0"/>
          <c:showSerName val="0"/>
          <c:showPercent val="0"/>
          <c:showBubbleSize val="0"/>
        </c:dLbls>
        <c:gapWidth val="219"/>
        <c:overlap val="-27"/>
        <c:axId val="667723279"/>
        <c:axId val="667721839"/>
      </c:barChart>
      <c:catAx>
        <c:axId val="66772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21839"/>
        <c:crosses val="autoZero"/>
        <c:auto val="1"/>
        <c:lblAlgn val="ctr"/>
        <c:lblOffset val="100"/>
        <c:noMultiLvlLbl val="0"/>
      </c:catAx>
      <c:valAx>
        <c:axId val="66772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2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CD-4DC5-8A92-11F249D5FA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CD-4DC5-8A92-11F249D5FA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CD-4DC5-8A92-11F249D5FA3B}"/>
              </c:ext>
            </c:extLst>
          </c:dPt>
          <c:cat>
            <c:strRef>
              <c:f>Pivot4!$A$4:$A$7</c:f>
              <c:strCache>
                <c:ptCount val="3"/>
                <c:pt idx="0">
                  <c:v>Active</c:v>
                </c:pt>
                <c:pt idx="1">
                  <c:v>Closed</c:v>
                </c:pt>
                <c:pt idx="2">
                  <c:v>Pending</c:v>
                </c:pt>
              </c:strCache>
            </c:strRef>
          </c:cat>
          <c:val>
            <c:numRef>
              <c:f>Pivot4!$B$4:$B$7</c:f>
              <c:numCache>
                <c:formatCode>General</c:formatCode>
                <c:ptCount val="3"/>
                <c:pt idx="0">
                  <c:v>33</c:v>
                </c:pt>
                <c:pt idx="1">
                  <c:v>31</c:v>
                </c:pt>
                <c:pt idx="2">
                  <c:v>36</c:v>
                </c:pt>
              </c:numCache>
            </c:numRef>
          </c:val>
          <c:extLst>
            <c:ext xmlns:c16="http://schemas.microsoft.com/office/drawing/2014/chart" uri="{C3380CC4-5D6E-409C-BE32-E72D297353CC}">
              <c16:uniqueId val="{00000000-02E9-4514-9608-F243BAF8D1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 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5'!$B$3:$B$4</c:f>
              <c:strCache>
                <c:ptCount val="1"/>
                <c:pt idx="0">
                  <c:v>650</c:v>
                </c:pt>
              </c:strCache>
            </c:strRef>
          </c:tx>
          <c:spPr>
            <a:solidFill>
              <a:schemeClr val="accent1"/>
            </a:solidFill>
            <a:ln>
              <a:noFill/>
            </a:ln>
            <a:effectLst/>
          </c:spPr>
          <c:invertIfNegative val="0"/>
          <c:cat>
            <c:strRef>
              <c:f>'Pivot 5'!$A$5</c:f>
              <c:strCache>
                <c:ptCount val="1"/>
                <c:pt idx="0">
                  <c:v>Total</c:v>
                </c:pt>
              </c:strCache>
            </c:strRef>
          </c:cat>
          <c:val>
            <c:numRef>
              <c:f>'Pivot 5'!$B$5</c:f>
              <c:numCache>
                <c:formatCode>\₹#,##0</c:formatCode>
                <c:ptCount val="1"/>
                <c:pt idx="0">
                  <c:v>545975</c:v>
                </c:pt>
              </c:numCache>
            </c:numRef>
          </c:val>
          <c:extLst>
            <c:ext xmlns:c16="http://schemas.microsoft.com/office/drawing/2014/chart" uri="{C3380CC4-5D6E-409C-BE32-E72D297353CC}">
              <c16:uniqueId val="{00000000-A5E7-4395-8606-3D0829C56A0C}"/>
            </c:ext>
          </c:extLst>
        </c:ser>
        <c:ser>
          <c:idx val="1"/>
          <c:order val="1"/>
          <c:tx>
            <c:strRef>
              <c:f>'Pivot 5'!$C$3:$C$4</c:f>
              <c:strCache>
                <c:ptCount val="1"/>
                <c:pt idx="0">
                  <c:v>651</c:v>
                </c:pt>
              </c:strCache>
            </c:strRef>
          </c:tx>
          <c:spPr>
            <a:solidFill>
              <a:schemeClr val="accent2"/>
            </a:solidFill>
            <a:ln>
              <a:noFill/>
            </a:ln>
            <a:effectLst/>
          </c:spPr>
          <c:invertIfNegative val="0"/>
          <c:cat>
            <c:strRef>
              <c:f>'Pivot 5'!$A$5</c:f>
              <c:strCache>
                <c:ptCount val="1"/>
                <c:pt idx="0">
                  <c:v>Total</c:v>
                </c:pt>
              </c:strCache>
            </c:strRef>
          </c:cat>
          <c:val>
            <c:numRef>
              <c:f>'Pivot 5'!$C$5</c:f>
              <c:numCache>
                <c:formatCode>\₹#,##0</c:formatCode>
                <c:ptCount val="1"/>
                <c:pt idx="0">
                  <c:v>1716581</c:v>
                </c:pt>
              </c:numCache>
            </c:numRef>
          </c:val>
          <c:extLst>
            <c:ext xmlns:c16="http://schemas.microsoft.com/office/drawing/2014/chart" uri="{C3380CC4-5D6E-409C-BE32-E72D297353CC}">
              <c16:uniqueId val="{00000003-A5E7-4395-8606-3D0829C56A0C}"/>
            </c:ext>
          </c:extLst>
        </c:ser>
        <c:ser>
          <c:idx val="2"/>
          <c:order val="2"/>
          <c:tx>
            <c:strRef>
              <c:f>'Pivot 5'!$D$3:$D$4</c:f>
              <c:strCache>
                <c:ptCount val="1"/>
                <c:pt idx="0">
                  <c:v>653</c:v>
                </c:pt>
              </c:strCache>
            </c:strRef>
          </c:tx>
          <c:spPr>
            <a:solidFill>
              <a:schemeClr val="accent3"/>
            </a:solidFill>
            <a:ln>
              <a:noFill/>
            </a:ln>
            <a:effectLst/>
          </c:spPr>
          <c:invertIfNegative val="0"/>
          <c:cat>
            <c:strRef>
              <c:f>'Pivot 5'!$A$5</c:f>
              <c:strCache>
                <c:ptCount val="1"/>
                <c:pt idx="0">
                  <c:v>Total</c:v>
                </c:pt>
              </c:strCache>
            </c:strRef>
          </c:cat>
          <c:val>
            <c:numRef>
              <c:f>'Pivot 5'!$D$5</c:f>
              <c:numCache>
                <c:formatCode>\₹#,##0</c:formatCode>
                <c:ptCount val="1"/>
                <c:pt idx="0">
                  <c:v>1429847</c:v>
                </c:pt>
              </c:numCache>
            </c:numRef>
          </c:val>
          <c:extLst>
            <c:ext xmlns:c16="http://schemas.microsoft.com/office/drawing/2014/chart" uri="{C3380CC4-5D6E-409C-BE32-E72D297353CC}">
              <c16:uniqueId val="{00000004-A5E7-4395-8606-3D0829C56A0C}"/>
            </c:ext>
          </c:extLst>
        </c:ser>
        <c:ser>
          <c:idx val="3"/>
          <c:order val="3"/>
          <c:tx>
            <c:strRef>
              <c:f>'Pivot 5'!$E$3:$E$4</c:f>
              <c:strCache>
                <c:ptCount val="1"/>
                <c:pt idx="0">
                  <c:v>658</c:v>
                </c:pt>
              </c:strCache>
            </c:strRef>
          </c:tx>
          <c:spPr>
            <a:solidFill>
              <a:schemeClr val="accent4"/>
            </a:solidFill>
            <a:ln>
              <a:noFill/>
            </a:ln>
            <a:effectLst/>
          </c:spPr>
          <c:invertIfNegative val="0"/>
          <c:cat>
            <c:strRef>
              <c:f>'Pivot 5'!$A$5</c:f>
              <c:strCache>
                <c:ptCount val="1"/>
                <c:pt idx="0">
                  <c:v>Total</c:v>
                </c:pt>
              </c:strCache>
            </c:strRef>
          </c:cat>
          <c:val>
            <c:numRef>
              <c:f>'Pivot 5'!$E$5</c:f>
              <c:numCache>
                <c:formatCode>\₹#,##0</c:formatCode>
                <c:ptCount val="1"/>
                <c:pt idx="0">
                  <c:v>2084595</c:v>
                </c:pt>
              </c:numCache>
            </c:numRef>
          </c:val>
          <c:extLst>
            <c:ext xmlns:c16="http://schemas.microsoft.com/office/drawing/2014/chart" uri="{C3380CC4-5D6E-409C-BE32-E72D297353CC}">
              <c16:uniqueId val="{00000005-A5E7-4395-8606-3D0829C56A0C}"/>
            </c:ext>
          </c:extLst>
        </c:ser>
        <c:ser>
          <c:idx val="4"/>
          <c:order val="4"/>
          <c:tx>
            <c:strRef>
              <c:f>'Pivot 5'!$F$3:$F$4</c:f>
              <c:strCache>
                <c:ptCount val="1"/>
                <c:pt idx="0">
                  <c:v>660</c:v>
                </c:pt>
              </c:strCache>
            </c:strRef>
          </c:tx>
          <c:spPr>
            <a:solidFill>
              <a:schemeClr val="accent5"/>
            </a:solidFill>
            <a:ln>
              <a:noFill/>
            </a:ln>
            <a:effectLst/>
          </c:spPr>
          <c:invertIfNegative val="0"/>
          <c:cat>
            <c:strRef>
              <c:f>'Pivot 5'!$A$5</c:f>
              <c:strCache>
                <c:ptCount val="1"/>
                <c:pt idx="0">
                  <c:v>Total</c:v>
                </c:pt>
              </c:strCache>
            </c:strRef>
          </c:cat>
          <c:val>
            <c:numRef>
              <c:f>'Pivot 5'!$F$5</c:f>
              <c:numCache>
                <c:formatCode>\₹#,##0</c:formatCode>
                <c:ptCount val="1"/>
                <c:pt idx="0">
                  <c:v>555966</c:v>
                </c:pt>
              </c:numCache>
            </c:numRef>
          </c:val>
          <c:extLst>
            <c:ext xmlns:c16="http://schemas.microsoft.com/office/drawing/2014/chart" uri="{C3380CC4-5D6E-409C-BE32-E72D297353CC}">
              <c16:uniqueId val="{00000006-A5E7-4395-8606-3D0829C56A0C}"/>
            </c:ext>
          </c:extLst>
        </c:ser>
        <c:ser>
          <c:idx val="5"/>
          <c:order val="5"/>
          <c:tx>
            <c:strRef>
              <c:f>'Pivot 5'!$G$3:$G$4</c:f>
              <c:strCache>
                <c:ptCount val="1"/>
                <c:pt idx="0">
                  <c:v>661</c:v>
                </c:pt>
              </c:strCache>
            </c:strRef>
          </c:tx>
          <c:spPr>
            <a:solidFill>
              <a:schemeClr val="accent6"/>
            </a:solidFill>
            <a:ln>
              <a:noFill/>
            </a:ln>
            <a:effectLst/>
          </c:spPr>
          <c:invertIfNegative val="0"/>
          <c:cat>
            <c:strRef>
              <c:f>'Pivot 5'!$A$5</c:f>
              <c:strCache>
                <c:ptCount val="1"/>
                <c:pt idx="0">
                  <c:v>Total</c:v>
                </c:pt>
              </c:strCache>
            </c:strRef>
          </c:cat>
          <c:val>
            <c:numRef>
              <c:f>'Pivot 5'!$G$5</c:f>
              <c:numCache>
                <c:formatCode>\₹#,##0</c:formatCode>
                <c:ptCount val="1"/>
                <c:pt idx="0">
                  <c:v>1096846</c:v>
                </c:pt>
              </c:numCache>
            </c:numRef>
          </c:val>
          <c:extLst>
            <c:ext xmlns:c16="http://schemas.microsoft.com/office/drawing/2014/chart" uri="{C3380CC4-5D6E-409C-BE32-E72D297353CC}">
              <c16:uniqueId val="{00000007-A5E7-4395-8606-3D0829C56A0C}"/>
            </c:ext>
          </c:extLst>
        </c:ser>
        <c:ser>
          <c:idx val="6"/>
          <c:order val="6"/>
          <c:tx>
            <c:strRef>
              <c:f>'Pivot 5'!$H$3:$H$4</c:f>
              <c:strCache>
                <c:ptCount val="1"/>
                <c:pt idx="0">
                  <c:v>664</c:v>
                </c:pt>
              </c:strCache>
            </c:strRef>
          </c:tx>
          <c:spPr>
            <a:solidFill>
              <a:schemeClr val="accent1">
                <a:lumMod val="60000"/>
              </a:schemeClr>
            </a:solidFill>
            <a:ln>
              <a:noFill/>
            </a:ln>
            <a:effectLst/>
          </c:spPr>
          <c:invertIfNegative val="0"/>
          <c:cat>
            <c:strRef>
              <c:f>'Pivot 5'!$A$5</c:f>
              <c:strCache>
                <c:ptCount val="1"/>
                <c:pt idx="0">
                  <c:v>Total</c:v>
                </c:pt>
              </c:strCache>
            </c:strRef>
          </c:cat>
          <c:val>
            <c:numRef>
              <c:f>'Pivot 5'!$H$5</c:f>
              <c:numCache>
                <c:formatCode>\₹#,##0</c:formatCode>
                <c:ptCount val="1"/>
                <c:pt idx="0">
                  <c:v>3416915</c:v>
                </c:pt>
              </c:numCache>
            </c:numRef>
          </c:val>
          <c:extLst>
            <c:ext xmlns:c16="http://schemas.microsoft.com/office/drawing/2014/chart" uri="{C3380CC4-5D6E-409C-BE32-E72D297353CC}">
              <c16:uniqueId val="{00000008-A5E7-4395-8606-3D0829C56A0C}"/>
            </c:ext>
          </c:extLst>
        </c:ser>
        <c:ser>
          <c:idx val="7"/>
          <c:order val="7"/>
          <c:tx>
            <c:strRef>
              <c:f>'Pivot 5'!$I$3:$I$4</c:f>
              <c:strCache>
                <c:ptCount val="1"/>
                <c:pt idx="0">
                  <c:v>666</c:v>
                </c:pt>
              </c:strCache>
            </c:strRef>
          </c:tx>
          <c:spPr>
            <a:solidFill>
              <a:schemeClr val="accent2">
                <a:lumMod val="60000"/>
              </a:schemeClr>
            </a:solidFill>
            <a:ln>
              <a:noFill/>
            </a:ln>
            <a:effectLst/>
          </c:spPr>
          <c:invertIfNegative val="0"/>
          <c:cat>
            <c:strRef>
              <c:f>'Pivot 5'!$A$5</c:f>
              <c:strCache>
                <c:ptCount val="1"/>
                <c:pt idx="0">
                  <c:v>Total</c:v>
                </c:pt>
              </c:strCache>
            </c:strRef>
          </c:cat>
          <c:val>
            <c:numRef>
              <c:f>'Pivot 5'!$I$5</c:f>
              <c:numCache>
                <c:formatCode>\₹#,##0</c:formatCode>
                <c:ptCount val="1"/>
                <c:pt idx="0">
                  <c:v>1257757</c:v>
                </c:pt>
              </c:numCache>
            </c:numRef>
          </c:val>
          <c:extLst>
            <c:ext xmlns:c16="http://schemas.microsoft.com/office/drawing/2014/chart" uri="{C3380CC4-5D6E-409C-BE32-E72D297353CC}">
              <c16:uniqueId val="{00000009-A5E7-4395-8606-3D0829C56A0C}"/>
            </c:ext>
          </c:extLst>
        </c:ser>
        <c:ser>
          <c:idx val="8"/>
          <c:order val="8"/>
          <c:tx>
            <c:strRef>
              <c:f>'Pivot 5'!$J$3:$J$4</c:f>
              <c:strCache>
                <c:ptCount val="1"/>
                <c:pt idx="0">
                  <c:v>672</c:v>
                </c:pt>
              </c:strCache>
            </c:strRef>
          </c:tx>
          <c:spPr>
            <a:solidFill>
              <a:schemeClr val="accent3">
                <a:lumMod val="60000"/>
              </a:schemeClr>
            </a:solidFill>
            <a:ln>
              <a:noFill/>
            </a:ln>
            <a:effectLst/>
          </c:spPr>
          <c:invertIfNegative val="0"/>
          <c:cat>
            <c:strRef>
              <c:f>'Pivot 5'!$A$5</c:f>
              <c:strCache>
                <c:ptCount val="1"/>
                <c:pt idx="0">
                  <c:v>Total</c:v>
                </c:pt>
              </c:strCache>
            </c:strRef>
          </c:cat>
          <c:val>
            <c:numRef>
              <c:f>'Pivot 5'!$J$5</c:f>
              <c:numCache>
                <c:formatCode>\₹#,##0</c:formatCode>
                <c:ptCount val="1"/>
                <c:pt idx="0">
                  <c:v>1537995</c:v>
                </c:pt>
              </c:numCache>
            </c:numRef>
          </c:val>
          <c:extLst>
            <c:ext xmlns:c16="http://schemas.microsoft.com/office/drawing/2014/chart" uri="{C3380CC4-5D6E-409C-BE32-E72D297353CC}">
              <c16:uniqueId val="{0000000A-A5E7-4395-8606-3D0829C56A0C}"/>
            </c:ext>
          </c:extLst>
        </c:ser>
        <c:ser>
          <c:idx val="9"/>
          <c:order val="9"/>
          <c:tx>
            <c:strRef>
              <c:f>'Pivot 5'!$K$3:$K$4</c:f>
              <c:strCache>
                <c:ptCount val="1"/>
                <c:pt idx="0">
                  <c:v>678</c:v>
                </c:pt>
              </c:strCache>
            </c:strRef>
          </c:tx>
          <c:spPr>
            <a:solidFill>
              <a:schemeClr val="accent4">
                <a:lumMod val="60000"/>
              </a:schemeClr>
            </a:solidFill>
            <a:ln>
              <a:noFill/>
            </a:ln>
            <a:effectLst/>
          </c:spPr>
          <c:invertIfNegative val="0"/>
          <c:cat>
            <c:strRef>
              <c:f>'Pivot 5'!$A$5</c:f>
              <c:strCache>
                <c:ptCount val="1"/>
                <c:pt idx="0">
                  <c:v>Total</c:v>
                </c:pt>
              </c:strCache>
            </c:strRef>
          </c:cat>
          <c:val>
            <c:numRef>
              <c:f>'Pivot 5'!$K$5</c:f>
              <c:numCache>
                <c:formatCode>\₹#,##0</c:formatCode>
                <c:ptCount val="1"/>
                <c:pt idx="0">
                  <c:v>1030189</c:v>
                </c:pt>
              </c:numCache>
            </c:numRef>
          </c:val>
          <c:extLst>
            <c:ext xmlns:c16="http://schemas.microsoft.com/office/drawing/2014/chart" uri="{C3380CC4-5D6E-409C-BE32-E72D297353CC}">
              <c16:uniqueId val="{0000000B-A5E7-4395-8606-3D0829C56A0C}"/>
            </c:ext>
          </c:extLst>
        </c:ser>
        <c:ser>
          <c:idx val="10"/>
          <c:order val="10"/>
          <c:tx>
            <c:strRef>
              <c:f>'Pivot 5'!$L$3:$L$4</c:f>
              <c:strCache>
                <c:ptCount val="1"/>
                <c:pt idx="0">
                  <c:v>679</c:v>
                </c:pt>
              </c:strCache>
            </c:strRef>
          </c:tx>
          <c:spPr>
            <a:solidFill>
              <a:schemeClr val="accent5">
                <a:lumMod val="60000"/>
              </a:schemeClr>
            </a:solidFill>
            <a:ln>
              <a:noFill/>
            </a:ln>
            <a:effectLst/>
          </c:spPr>
          <c:invertIfNegative val="0"/>
          <c:cat>
            <c:strRef>
              <c:f>'Pivot 5'!$A$5</c:f>
              <c:strCache>
                <c:ptCount val="1"/>
                <c:pt idx="0">
                  <c:v>Total</c:v>
                </c:pt>
              </c:strCache>
            </c:strRef>
          </c:cat>
          <c:val>
            <c:numRef>
              <c:f>'Pivot 5'!$L$5</c:f>
              <c:numCache>
                <c:formatCode>\₹#,##0</c:formatCode>
                <c:ptCount val="1"/>
                <c:pt idx="0">
                  <c:v>7125855</c:v>
                </c:pt>
              </c:numCache>
            </c:numRef>
          </c:val>
          <c:extLst>
            <c:ext xmlns:c16="http://schemas.microsoft.com/office/drawing/2014/chart" uri="{C3380CC4-5D6E-409C-BE32-E72D297353CC}">
              <c16:uniqueId val="{0000000C-A5E7-4395-8606-3D0829C56A0C}"/>
            </c:ext>
          </c:extLst>
        </c:ser>
        <c:ser>
          <c:idx val="11"/>
          <c:order val="11"/>
          <c:tx>
            <c:strRef>
              <c:f>'Pivot 5'!$M$3:$M$4</c:f>
              <c:strCache>
                <c:ptCount val="1"/>
                <c:pt idx="0">
                  <c:v>680</c:v>
                </c:pt>
              </c:strCache>
            </c:strRef>
          </c:tx>
          <c:spPr>
            <a:solidFill>
              <a:schemeClr val="accent6">
                <a:lumMod val="60000"/>
              </a:schemeClr>
            </a:solidFill>
            <a:ln>
              <a:noFill/>
            </a:ln>
            <a:effectLst/>
          </c:spPr>
          <c:invertIfNegative val="0"/>
          <c:cat>
            <c:strRef>
              <c:f>'Pivot 5'!$A$5</c:f>
              <c:strCache>
                <c:ptCount val="1"/>
                <c:pt idx="0">
                  <c:v>Total</c:v>
                </c:pt>
              </c:strCache>
            </c:strRef>
          </c:cat>
          <c:val>
            <c:numRef>
              <c:f>'Pivot 5'!$M$5</c:f>
              <c:numCache>
                <c:formatCode>\₹#,##0</c:formatCode>
                <c:ptCount val="1"/>
                <c:pt idx="0">
                  <c:v>1474176</c:v>
                </c:pt>
              </c:numCache>
            </c:numRef>
          </c:val>
          <c:extLst>
            <c:ext xmlns:c16="http://schemas.microsoft.com/office/drawing/2014/chart" uri="{C3380CC4-5D6E-409C-BE32-E72D297353CC}">
              <c16:uniqueId val="{0000000D-A5E7-4395-8606-3D0829C56A0C}"/>
            </c:ext>
          </c:extLst>
        </c:ser>
        <c:ser>
          <c:idx val="12"/>
          <c:order val="12"/>
          <c:tx>
            <c:strRef>
              <c:f>'Pivot 5'!$N$3:$N$4</c:f>
              <c:strCache>
                <c:ptCount val="1"/>
                <c:pt idx="0">
                  <c:v>687</c:v>
                </c:pt>
              </c:strCache>
            </c:strRef>
          </c:tx>
          <c:spPr>
            <a:solidFill>
              <a:schemeClr val="accent1">
                <a:lumMod val="80000"/>
                <a:lumOff val="20000"/>
              </a:schemeClr>
            </a:solidFill>
            <a:ln>
              <a:noFill/>
            </a:ln>
            <a:effectLst/>
          </c:spPr>
          <c:invertIfNegative val="0"/>
          <c:cat>
            <c:strRef>
              <c:f>'Pivot 5'!$A$5</c:f>
              <c:strCache>
                <c:ptCount val="1"/>
                <c:pt idx="0">
                  <c:v>Total</c:v>
                </c:pt>
              </c:strCache>
            </c:strRef>
          </c:cat>
          <c:val>
            <c:numRef>
              <c:f>'Pivot 5'!$N$5</c:f>
              <c:numCache>
                <c:formatCode>\₹#,##0</c:formatCode>
                <c:ptCount val="1"/>
                <c:pt idx="0">
                  <c:v>1939186</c:v>
                </c:pt>
              </c:numCache>
            </c:numRef>
          </c:val>
          <c:extLst>
            <c:ext xmlns:c16="http://schemas.microsoft.com/office/drawing/2014/chart" uri="{C3380CC4-5D6E-409C-BE32-E72D297353CC}">
              <c16:uniqueId val="{0000000E-A5E7-4395-8606-3D0829C56A0C}"/>
            </c:ext>
          </c:extLst>
        </c:ser>
        <c:ser>
          <c:idx val="13"/>
          <c:order val="13"/>
          <c:tx>
            <c:strRef>
              <c:f>'Pivot 5'!$O$3:$O$4</c:f>
              <c:strCache>
                <c:ptCount val="1"/>
                <c:pt idx="0">
                  <c:v>693</c:v>
                </c:pt>
              </c:strCache>
            </c:strRef>
          </c:tx>
          <c:spPr>
            <a:solidFill>
              <a:schemeClr val="accent2">
                <a:lumMod val="80000"/>
                <a:lumOff val="20000"/>
              </a:schemeClr>
            </a:solidFill>
            <a:ln>
              <a:noFill/>
            </a:ln>
            <a:effectLst/>
          </c:spPr>
          <c:invertIfNegative val="0"/>
          <c:cat>
            <c:strRef>
              <c:f>'Pivot 5'!$A$5</c:f>
              <c:strCache>
                <c:ptCount val="1"/>
                <c:pt idx="0">
                  <c:v>Total</c:v>
                </c:pt>
              </c:strCache>
            </c:strRef>
          </c:cat>
          <c:val>
            <c:numRef>
              <c:f>'Pivot 5'!$O$5</c:f>
              <c:numCache>
                <c:formatCode>\₹#,##0</c:formatCode>
                <c:ptCount val="1"/>
                <c:pt idx="0">
                  <c:v>2552076</c:v>
                </c:pt>
              </c:numCache>
            </c:numRef>
          </c:val>
          <c:extLst>
            <c:ext xmlns:c16="http://schemas.microsoft.com/office/drawing/2014/chart" uri="{C3380CC4-5D6E-409C-BE32-E72D297353CC}">
              <c16:uniqueId val="{0000000F-A5E7-4395-8606-3D0829C56A0C}"/>
            </c:ext>
          </c:extLst>
        </c:ser>
        <c:ser>
          <c:idx val="14"/>
          <c:order val="14"/>
          <c:tx>
            <c:strRef>
              <c:f>'Pivot 5'!$P$3:$P$4</c:f>
              <c:strCache>
                <c:ptCount val="1"/>
                <c:pt idx="0">
                  <c:v>695</c:v>
                </c:pt>
              </c:strCache>
            </c:strRef>
          </c:tx>
          <c:spPr>
            <a:solidFill>
              <a:schemeClr val="accent3">
                <a:lumMod val="80000"/>
                <a:lumOff val="20000"/>
              </a:schemeClr>
            </a:solidFill>
            <a:ln>
              <a:noFill/>
            </a:ln>
            <a:effectLst/>
          </c:spPr>
          <c:invertIfNegative val="0"/>
          <c:cat>
            <c:strRef>
              <c:f>'Pivot 5'!$A$5</c:f>
              <c:strCache>
                <c:ptCount val="1"/>
                <c:pt idx="0">
                  <c:v>Total</c:v>
                </c:pt>
              </c:strCache>
            </c:strRef>
          </c:cat>
          <c:val>
            <c:numRef>
              <c:f>'Pivot 5'!$P$5</c:f>
              <c:numCache>
                <c:formatCode>\₹#,##0</c:formatCode>
                <c:ptCount val="1"/>
                <c:pt idx="0">
                  <c:v>1205861</c:v>
                </c:pt>
              </c:numCache>
            </c:numRef>
          </c:val>
          <c:extLst>
            <c:ext xmlns:c16="http://schemas.microsoft.com/office/drawing/2014/chart" uri="{C3380CC4-5D6E-409C-BE32-E72D297353CC}">
              <c16:uniqueId val="{00000010-A5E7-4395-8606-3D0829C56A0C}"/>
            </c:ext>
          </c:extLst>
        </c:ser>
        <c:ser>
          <c:idx val="15"/>
          <c:order val="15"/>
          <c:tx>
            <c:strRef>
              <c:f>'Pivot 5'!$Q$3:$Q$4</c:f>
              <c:strCache>
                <c:ptCount val="1"/>
                <c:pt idx="0">
                  <c:v>696</c:v>
                </c:pt>
              </c:strCache>
            </c:strRef>
          </c:tx>
          <c:spPr>
            <a:solidFill>
              <a:schemeClr val="accent4">
                <a:lumMod val="80000"/>
                <a:lumOff val="20000"/>
              </a:schemeClr>
            </a:solidFill>
            <a:ln>
              <a:noFill/>
            </a:ln>
            <a:effectLst/>
          </c:spPr>
          <c:invertIfNegative val="0"/>
          <c:cat>
            <c:strRef>
              <c:f>'Pivot 5'!$A$5</c:f>
              <c:strCache>
                <c:ptCount val="1"/>
                <c:pt idx="0">
                  <c:v>Total</c:v>
                </c:pt>
              </c:strCache>
            </c:strRef>
          </c:cat>
          <c:val>
            <c:numRef>
              <c:f>'Pivot 5'!$Q$5</c:f>
              <c:numCache>
                <c:formatCode>\₹#,##0</c:formatCode>
                <c:ptCount val="1"/>
                <c:pt idx="0">
                  <c:v>2910971</c:v>
                </c:pt>
              </c:numCache>
            </c:numRef>
          </c:val>
          <c:extLst>
            <c:ext xmlns:c16="http://schemas.microsoft.com/office/drawing/2014/chart" uri="{C3380CC4-5D6E-409C-BE32-E72D297353CC}">
              <c16:uniqueId val="{00000011-A5E7-4395-8606-3D0829C56A0C}"/>
            </c:ext>
          </c:extLst>
        </c:ser>
        <c:ser>
          <c:idx val="16"/>
          <c:order val="16"/>
          <c:tx>
            <c:strRef>
              <c:f>'Pivot 5'!$R$3:$R$4</c:f>
              <c:strCache>
                <c:ptCount val="1"/>
                <c:pt idx="0">
                  <c:v>698</c:v>
                </c:pt>
              </c:strCache>
            </c:strRef>
          </c:tx>
          <c:spPr>
            <a:solidFill>
              <a:schemeClr val="accent5">
                <a:lumMod val="80000"/>
                <a:lumOff val="20000"/>
              </a:schemeClr>
            </a:solidFill>
            <a:ln>
              <a:noFill/>
            </a:ln>
            <a:effectLst/>
          </c:spPr>
          <c:invertIfNegative val="0"/>
          <c:cat>
            <c:strRef>
              <c:f>'Pivot 5'!$A$5</c:f>
              <c:strCache>
                <c:ptCount val="1"/>
                <c:pt idx="0">
                  <c:v>Total</c:v>
                </c:pt>
              </c:strCache>
            </c:strRef>
          </c:cat>
          <c:val>
            <c:numRef>
              <c:f>'Pivot 5'!$R$5</c:f>
              <c:numCache>
                <c:formatCode>\₹#,##0</c:formatCode>
                <c:ptCount val="1"/>
                <c:pt idx="0">
                  <c:v>614681</c:v>
                </c:pt>
              </c:numCache>
            </c:numRef>
          </c:val>
          <c:extLst>
            <c:ext xmlns:c16="http://schemas.microsoft.com/office/drawing/2014/chart" uri="{C3380CC4-5D6E-409C-BE32-E72D297353CC}">
              <c16:uniqueId val="{00000012-A5E7-4395-8606-3D0829C56A0C}"/>
            </c:ext>
          </c:extLst>
        </c:ser>
        <c:ser>
          <c:idx val="17"/>
          <c:order val="17"/>
          <c:tx>
            <c:strRef>
              <c:f>'Pivot 5'!$S$3:$S$4</c:f>
              <c:strCache>
                <c:ptCount val="1"/>
                <c:pt idx="0">
                  <c:v>701</c:v>
                </c:pt>
              </c:strCache>
            </c:strRef>
          </c:tx>
          <c:spPr>
            <a:solidFill>
              <a:schemeClr val="accent6">
                <a:lumMod val="80000"/>
                <a:lumOff val="20000"/>
              </a:schemeClr>
            </a:solidFill>
            <a:ln>
              <a:noFill/>
            </a:ln>
            <a:effectLst/>
          </c:spPr>
          <c:invertIfNegative val="0"/>
          <c:cat>
            <c:strRef>
              <c:f>'Pivot 5'!$A$5</c:f>
              <c:strCache>
                <c:ptCount val="1"/>
                <c:pt idx="0">
                  <c:v>Total</c:v>
                </c:pt>
              </c:strCache>
            </c:strRef>
          </c:cat>
          <c:val>
            <c:numRef>
              <c:f>'Pivot 5'!$S$5</c:f>
              <c:numCache>
                <c:formatCode>\₹#,##0</c:formatCode>
                <c:ptCount val="1"/>
                <c:pt idx="0">
                  <c:v>2789483</c:v>
                </c:pt>
              </c:numCache>
            </c:numRef>
          </c:val>
          <c:extLst>
            <c:ext xmlns:c16="http://schemas.microsoft.com/office/drawing/2014/chart" uri="{C3380CC4-5D6E-409C-BE32-E72D297353CC}">
              <c16:uniqueId val="{00000013-A5E7-4395-8606-3D0829C56A0C}"/>
            </c:ext>
          </c:extLst>
        </c:ser>
        <c:ser>
          <c:idx val="18"/>
          <c:order val="18"/>
          <c:tx>
            <c:strRef>
              <c:f>'Pivot 5'!$T$3:$T$4</c:f>
              <c:strCache>
                <c:ptCount val="1"/>
                <c:pt idx="0">
                  <c:v>704</c:v>
                </c:pt>
              </c:strCache>
            </c:strRef>
          </c:tx>
          <c:spPr>
            <a:solidFill>
              <a:schemeClr val="accent1">
                <a:lumMod val="80000"/>
              </a:schemeClr>
            </a:solidFill>
            <a:ln>
              <a:noFill/>
            </a:ln>
            <a:effectLst/>
          </c:spPr>
          <c:invertIfNegative val="0"/>
          <c:cat>
            <c:strRef>
              <c:f>'Pivot 5'!$A$5</c:f>
              <c:strCache>
                <c:ptCount val="1"/>
                <c:pt idx="0">
                  <c:v>Total</c:v>
                </c:pt>
              </c:strCache>
            </c:strRef>
          </c:cat>
          <c:val>
            <c:numRef>
              <c:f>'Pivot 5'!$T$5</c:f>
              <c:numCache>
                <c:formatCode>\₹#,##0</c:formatCode>
                <c:ptCount val="1"/>
                <c:pt idx="0">
                  <c:v>3998801</c:v>
                </c:pt>
              </c:numCache>
            </c:numRef>
          </c:val>
          <c:extLst>
            <c:ext xmlns:c16="http://schemas.microsoft.com/office/drawing/2014/chart" uri="{C3380CC4-5D6E-409C-BE32-E72D297353CC}">
              <c16:uniqueId val="{00000014-A5E7-4395-8606-3D0829C56A0C}"/>
            </c:ext>
          </c:extLst>
        </c:ser>
        <c:ser>
          <c:idx val="19"/>
          <c:order val="19"/>
          <c:tx>
            <c:strRef>
              <c:f>'Pivot 5'!$U$3:$U$4</c:f>
              <c:strCache>
                <c:ptCount val="1"/>
                <c:pt idx="0">
                  <c:v>706</c:v>
                </c:pt>
              </c:strCache>
            </c:strRef>
          </c:tx>
          <c:spPr>
            <a:solidFill>
              <a:schemeClr val="accent2">
                <a:lumMod val="80000"/>
              </a:schemeClr>
            </a:solidFill>
            <a:ln>
              <a:noFill/>
            </a:ln>
            <a:effectLst/>
          </c:spPr>
          <c:invertIfNegative val="0"/>
          <c:cat>
            <c:strRef>
              <c:f>'Pivot 5'!$A$5</c:f>
              <c:strCache>
                <c:ptCount val="1"/>
                <c:pt idx="0">
                  <c:v>Total</c:v>
                </c:pt>
              </c:strCache>
            </c:strRef>
          </c:cat>
          <c:val>
            <c:numRef>
              <c:f>'Pivot 5'!$U$5</c:f>
              <c:numCache>
                <c:formatCode>\₹#,##0</c:formatCode>
                <c:ptCount val="1"/>
                <c:pt idx="0">
                  <c:v>2310791</c:v>
                </c:pt>
              </c:numCache>
            </c:numRef>
          </c:val>
          <c:extLst>
            <c:ext xmlns:c16="http://schemas.microsoft.com/office/drawing/2014/chart" uri="{C3380CC4-5D6E-409C-BE32-E72D297353CC}">
              <c16:uniqueId val="{00000015-A5E7-4395-8606-3D0829C56A0C}"/>
            </c:ext>
          </c:extLst>
        </c:ser>
        <c:ser>
          <c:idx val="20"/>
          <c:order val="20"/>
          <c:tx>
            <c:strRef>
              <c:f>'Pivot 5'!$V$3:$V$4</c:f>
              <c:strCache>
                <c:ptCount val="1"/>
                <c:pt idx="0">
                  <c:v>709</c:v>
                </c:pt>
              </c:strCache>
            </c:strRef>
          </c:tx>
          <c:spPr>
            <a:solidFill>
              <a:schemeClr val="accent3">
                <a:lumMod val="80000"/>
              </a:schemeClr>
            </a:solidFill>
            <a:ln>
              <a:noFill/>
            </a:ln>
            <a:effectLst/>
          </c:spPr>
          <c:invertIfNegative val="0"/>
          <c:cat>
            <c:strRef>
              <c:f>'Pivot 5'!$A$5</c:f>
              <c:strCache>
                <c:ptCount val="1"/>
                <c:pt idx="0">
                  <c:v>Total</c:v>
                </c:pt>
              </c:strCache>
            </c:strRef>
          </c:cat>
          <c:val>
            <c:numRef>
              <c:f>'Pivot 5'!$V$5</c:f>
              <c:numCache>
                <c:formatCode>\₹#,##0</c:formatCode>
                <c:ptCount val="1"/>
                <c:pt idx="0">
                  <c:v>473273</c:v>
                </c:pt>
              </c:numCache>
            </c:numRef>
          </c:val>
          <c:extLst>
            <c:ext xmlns:c16="http://schemas.microsoft.com/office/drawing/2014/chart" uri="{C3380CC4-5D6E-409C-BE32-E72D297353CC}">
              <c16:uniqueId val="{00000016-A5E7-4395-8606-3D0829C56A0C}"/>
            </c:ext>
          </c:extLst>
        </c:ser>
        <c:ser>
          <c:idx val="21"/>
          <c:order val="21"/>
          <c:tx>
            <c:strRef>
              <c:f>'Pivot 5'!$W$3:$W$4</c:f>
              <c:strCache>
                <c:ptCount val="1"/>
                <c:pt idx="0">
                  <c:v>711</c:v>
                </c:pt>
              </c:strCache>
            </c:strRef>
          </c:tx>
          <c:spPr>
            <a:solidFill>
              <a:schemeClr val="accent4">
                <a:lumMod val="80000"/>
              </a:schemeClr>
            </a:solidFill>
            <a:ln>
              <a:noFill/>
            </a:ln>
            <a:effectLst/>
          </c:spPr>
          <c:invertIfNegative val="0"/>
          <c:cat>
            <c:strRef>
              <c:f>'Pivot 5'!$A$5</c:f>
              <c:strCache>
                <c:ptCount val="1"/>
                <c:pt idx="0">
                  <c:v>Total</c:v>
                </c:pt>
              </c:strCache>
            </c:strRef>
          </c:cat>
          <c:val>
            <c:numRef>
              <c:f>'Pivot 5'!$W$5</c:f>
              <c:numCache>
                <c:formatCode>\₹#,##0</c:formatCode>
                <c:ptCount val="1"/>
                <c:pt idx="0">
                  <c:v>477307</c:v>
                </c:pt>
              </c:numCache>
            </c:numRef>
          </c:val>
          <c:extLst>
            <c:ext xmlns:c16="http://schemas.microsoft.com/office/drawing/2014/chart" uri="{C3380CC4-5D6E-409C-BE32-E72D297353CC}">
              <c16:uniqueId val="{00000017-A5E7-4395-8606-3D0829C56A0C}"/>
            </c:ext>
          </c:extLst>
        </c:ser>
        <c:ser>
          <c:idx val="22"/>
          <c:order val="22"/>
          <c:tx>
            <c:strRef>
              <c:f>'Pivot 5'!$X$3:$X$4</c:f>
              <c:strCache>
                <c:ptCount val="1"/>
                <c:pt idx="0">
                  <c:v>713</c:v>
                </c:pt>
              </c:strCache>
            </c:strRef>
          </c:tx>
          <c:spPr>
            <a:solidFill>
              <a:schemeClr val="accent5">
                <a:lumMod val="80000"/>
              </a:schemeClr>
            </a:solidFill>
            <a:ln>
              <a:noFill/>
            </a:ln>
            <a:effectLst/>
          </c:spPr>
          <c:invertIfNegative val="0"/>
          <c:cat>
            <c:strRef>
              <c:f>'Pivot 5'!$A$5</c:f>
              <c:strCache>
                <c:ptCount val="1"/>
                <c:pt idx="0">
                  <c:v>Total</c:v>
                </c:pt>
              </c:strCache>
            </c:strRef>
          </c:cat>
          <c:val>
            <c:numRef>
              <c:f>'Pivot 5'!$X$5</c:f>
              <c:numCache>
                <c:formatCode>\₹#,##0</c:formatCode>
                <c:ptCount val="1"/>
                <c:pt idx="0">
                  <c:v>1444426</c:v>
                </c:pt>
              </c:numCache>
            </c:numRef>
          </c:val>
          <c:extLst>
            <c:ext xmlns:c16="http://schemas.microsoft.com/office/drawing/2014/chart" uri="{C3380CC4-5D6E-409C-BE32-E72D297353CC}">
              <c16:uniqueId val="{00000018-A5E7-4395-8606-3D0829C56A0C}"/>
            </c:ext>
          </c:extLst>
        </c:ser>
        <c:ser>
          <c:idx val="23"/>
          <c:order val="23"/>
          <c:tx>
            <c:strRef>
              <c:f>'Pivot 5'!$Y$3:$Y$4</c:f>
              <c:strCache>
                <c:ptCount val="1"/>
                <c:pt idx="0">
                  <c:v>714</c:v>
                </c:pt>
              </c:strCache>
            </c:strRef>
          </c:tx>
          <c:spPr>
            <a:solidFill>
              <a:schemeClr val="accent6">
                <a:lumMod val="80000"/>
              </a:schemeClr>
            </a:solidFill>
            <a:ln>
              <a:noFill/>
            </a:ln>
            <a:effectLst/>
          </c:spPr>
          <c:invertIfNegative val="0"/>
          <c:cat>
            <c:strRef>
              <c:f>'Pivot 5'!$A$5</c:f>
              <c:strCache>
                <c:ptCount val="1"/>
                <c:pt idx="0">
                  <c:v>Total</c:v>
                </c:pt>
              </c:strCache>
            </c:strRef>
          </c:cat>
          <c:val>
            <c:numRef>
              <c:f>'Pivot 5'!$Y$5</c:f>
              <c:numCache>
                <c:formatCode>\₹#,##0</c:formatCode>
                <c:ptCount val="1"/>
                <c:pt idx="0">
                  <c:v>1202920</c:v>
                </c:pt>
              </c:numCache>
            </c:numRef>
          </c:val>
          <c:extLst>
            <c:ext xmlns:c16="http://schemas.microsoft.com/office/drawing/2014/chart" uri="{C3380CC4-5D6E-409C-BE32-E72D297353CC}">
              <c16:uniqueId val="{00000019-A5E7-4395-8606-3D0829C56A0C}"/>
            </c:ext>
          </c:extLst>
        </c:ser>
        <c:ser>
          <c:idx val="24"/>
          <c:order val="24"/>
          <c:tx>
            <c:strRef>
              <c:f>'Pivot 5'!$Z$3:$Z$4</c:f>
              <c:strCache>
                <c:ptCount val="1"/>
                <c:pt idx="0">
                  <c:v>717</c:v>
                </c:pt>
              </c:strCache>
            </c:strRef>
          </c:tx>
          <c:spPr>
            <a:solidFill>
              <a:schemeClr val="accent1">
                <a:lumMod val="60000"/>
                <a:lumOff val="40000"/>
              </a:schemeClr>
            </a:solidFill>
            <a:ln>
              <a:noFill/>
            </a:ln>
            <a:effectLst/>
          </c:spPr>
          <c:invertIfNegative val="0"/>
          <c:cat>
            <c:strRef>
              <c:f>'Pivot 5'!$A$5</c:f>
              <c:strCache>
                <c:ptCount val="1"/>
                <c:pt idx="0">
                  <c:v>Total</c:v>
                </c:pt>
              </c:strCache>
            </c:strRef>
          </c:cat>
          <c:val>
            <c:numRef>
              <c:f>'Pivot 5'!$Z$5</c:f>
              <c:numCache>
                <c:formatCode>\₹#,##0</c:formatCode>
                <c:ptCount val="1"/>
                <c:pt idx="0">
                  <c:v>1460051</c:v>
                </c:pt>
              </c:numCache>
            </c:numRef>
          </c:val>
          <c:extLst>
            <c:ext xmlns:c16="http://schemas.microsoft.com/office/drawing/2014/chart" uri="{C3380CC4-5D6E-409C-BE32-E72D297353CC}">
              <c16:uniqueId val="{0000001A-A5E7-4395-8606-3D0829C56A0C}"/>
            </c:ext>
          </c:extLst>
        </c:ser>
        <c:ser>
          <c:idx val="25"/>
          <c:order val="25"/>
          <c:tx>
            <c:strRef>
              <c:f>'Pivot 5'!$AA$3:$AA$4</c:f>
              <c:strCache>
                <c:ptCount val="1"/>
                <c:pt idx="0">
                  <c:v>718</c:v>
                </c:pt>
              </c:strCache>
            </c:strRef>
          </c:tx>
          <c:spPr>
            <a:solidFill>
              <a:schemeClr val="accent2">
                <a:lumMod val="60000"/>
                <a:lumOff val="40000"/>
              </a:schemeClr>
            </a:solidFill>
            <a:ln>
              <a:noFill/>
            </a:ln>
            <a:effectLst/>
          </c:spPr>
          <c:invertIfNegative val="0"/>
          <c:cat>
            <c:strRef>
              <c:f>'Pivot 5'!$A$5</c:f>
              <c:strCache>
                <c:ptCount val="1"/>
                <c:pt idx="0">
                  <c:v>Total</c:v>
                </c:pt>
              </c:strCache>
            </c:strRef>
          </c:cat>
          <c:val>
            <c:numRef>
              <c:f>'Pivot 5'!$AA$5</c:f>
              <c:numCache>
                <c:formatCode>\₹#,##0</c:formatCode>
                <c:ptCount val="1"/>
                <c:pt idx="0">
                  <c:v>1871397</c:v>
                </c:pt>
              </c:numCache>
            </c:numRef>
          </c:val>
          <c:extLst>
            <c:ext xmlns:c16="http://schemas.microsoft.com/office/drawing/2014/chart" uri="{C3380CC4-5D6E-409C-BE32-E72D297353CC}">
              <c16:uniqueId val="{0000001B-A5E7-4395-8606-3D0829C56A0C}"/>
            </c:ext>
          </c:extLst>
        </c:ser>
        <c:ser>
          <c:idx val="26"/>
          <c:order val="26"/>
          <c:tx>
            <c:strRef>
              <c:f>'Pivot 5'!$AB$3:$AB$4</c:f>
              <c:strCache>
                <c:ptCount val="1"/>
                <c:pt idx="0">
                  <c:v>720</c:v>
                </c:pt>
              </c:strCache>
            </c:strRef>
          </c:tx>
          <c:spPr>
            <a:solidFill>
              <a:schemeClr val="accent3">
                <a:lumMod val="60000"/>
                <a:lumOff val="40000"/>
              </a:schemeClr>
            </a:solidFill>
            <a:ln>
              <a:noFill/>
            </a:ln>
            <a:effectLst/>
          </c:spPr>
          <c:invertIfNegative val="0"/>
          <c:cat>
            <c:strRef>
              <c:f>'Pivot 5'!$A$5</c:f>
              <c:strCache>
                <c:ptCount val="1"/>
                <c:pt idx="0">
                  <c:v>Total</c:v>
                </c:pt>
              </c:strCache>
            </c:strRef>
          </c:cat>
          <c:val>
            <c:numRef>
              <c:f>'Pivot 5'!$AB$5</c:f>
              <c:numCache>
                <c:formatCode>\₹#,##0</c:formatCode>
                <c:ptCount val="1"/>
                <c:pt idx="0">
                  <c:v>355759</c:v>
                </c:pt>
              </c:numCache>
            </c:numRef>
          </c:val>
          <c:extLst>
            <c:ext xmlns:c16="http://schemas.microsoft.com/office/drawing/2014/chart" uri="{C3380CC4-5D6E-409C-BE32-E72D297353CC}">
              <c16:uniqueId val="{0000001C-A5E7-4395-8606-3D0829C56A0C}"/>
            </c:ext>
          </c:extLst>
        </c:ser>
        <c:ser>
          <c:idx val="27"/>
          <c:order val="27"/>
          <c:tx>
            <c:strRef>
              <c:f>'Pivot 5'!$AC$3:$AC$4</c:f>
              <c:strCache>
                <c:ptCount val="1"/>
                <c:pt idx="0">
                  <c:v>721</c:v>
                </c:pt>
              </c:strCache>
            </c:strRef>
          </c:tx>
          <c:spPr>
            <a:solidFill>
              <a:schemeClr val="accent4">
                <a:lumMod val="60000"/>
                <a:lumOff val="40000"/>
              </a:schemeClr>
            </a:solidFill>
            <a:ln>
              <a:noFill/>
            </a:ln>
            <a:effectLst/>
          </c:spPr>
          <c:invertIfNegative val="0"/>
          <c:cat>
            <c:strRef>
              <c:f>'Pivot 5'!$A$5</c:f>
              <c:strCache>
                <c:ptCount val="1"/>
                <c:pt idx="0">
                  <c:v>Total</c:v>
                </c:pt>
              </c:strCache>
            </c:strRef>
          </c:cat>
          <c:val>
            <c:numRef>
              <c:f>'Pivot 5'!$AC$5</c:f>
              <c:numCache>
                <c:formatCode>\₹#,##0</c:formatCode>
                <c:ptCount val="1"/>
                <c:pt idx="0">
                  <c:v>1074983</c:v>
                </c:pt>
              </c:numCache>
            </c:numRef>
          </c:val>
          <c:extLst>
            <c:ext xmlns:c16="http://schemas.microsoft.com/office/drawing/2014/chart" uri="{C3380CC4-5D6E-409C-BE32-E72D297353CC}">
              <c16:uniqueId val="{0000001D-A5E7-4395-8606-3D0829C56A0C}"/>
            </c:ext>
          </c:extLst>
        </c:ser>
        <c:ser>
          <c:idx val="28"/>
          <c:order val="28"/>
          <c:tx>
            <c:strRef>
              <c:f>'Pivot 5'!$AD$3:$AD$4</c:f>
              <c:strCache>
                <c:ptCount val="1"/>
                <c:pt idx="0">
                  <c:v>725</c:v>
                </c:pt>
              </c:strCache>
            </c:strRef>
          </c:tx>
          <c:spPr>
            <a:solidFill>
              <a:schemeClr val="accent5">
                <a:lumMod val="60000"/>
                <a:lumOff val="40000"/>
              </a:schemeClr>
            </a:solidFill>
            <a:ln>
              <a:noFill/>
            </a:ln>
            <a:effectLst/>
          </c:spPr>
          <c:invertIfNegative val="0"/>
          <c:cat>
            <c:strRef>
              <c:f>'Pivot 5'!$A$5</c:f>
              <c:strCache>
                <c:ptCount val="1"/>
                <c:pt idx="0">
                  <c:v>Total</c:v>
                </c:pt>
              </c:strCache>
            </c:strRef>
          </c:cat>
          <c:val>
            <c:numRef>
              <c:f>'Pivot 5'!$AD$5</c:f>
              <c:numCache>
                <c:formatCode>\₹#,##0</c:formatCode>
                <c:ptCount val="1"/>
                <c:pt idx="0">
                  <c:v>7545798</c:v>
                </c:pt>
              </c:numCache>
            </c:numRef>
          </c:val>
          <c:extLst>
            <c:ext xmlns:c16="http://schemas.microsoft.com/office/drawing/2014/chart" uri="{C3380CC4-5D6E-409C-BE32-E72D297353CC}">
              <c16:uniqueId val="{0000001E-A5E7-4395-8606-3D0829C56A0C}"/>
            </c:ext>
          </c:extLst>
        </c:ser>
        <c:ser>
          <c:idx val="29"/>
          <c:order val="29"/>
          <c:tx>
            <c:strRef>
              <c:f>'Pivot 5'!$AE$3:$AE$4</c:f>
              <c:strCache>
                <c:ptCount val="1"/>
                <c:pt idx="0">
                  <c:v>727</c:v>
                </c:pt>
              </c:strCache>
            </c:strRef>
          </c:tx>
          <c:spPr>
            <a:solidFill>
              <a:schemeClr val="accent6">
                <a:lumMod val="60000"/>
                <a:lumOff val="40000"/>
              </a:schemeClr>
            </a:solidFill>
            <a:ln>
              <a:noFill/>
            </a:ln>
            <a:effectLst/>
          </c:spPr>
          <c:invertIfNegative val="0"/>
          <c:cat>
            <c:strRef>
              <c:f>'Pivot 5'!$A$5</c:f>
              <c:strCache>
                <c:ptCount val="1"/>
                <c:pt idx="0">
                  <c:v>Total</c:v>
                </c:pt>
              </c:strCache>
            </c:strRef>
          </c:cat>
          <c:val>
            <c:numRef>
              <c:f>'Pivot 5'!$AE$5</c:f>
              <c:numCache>
                <c:formatCode>\₹#,##0</c:formatCode>
                <c:ptCount val="1"/>
                <c:pt idx="0">
                  <c:v>3306476</c:v>
                </c:pt>
              </c:numCache>
            </c:numRef>
          </c:val>
          <c:extLst>
            <c:ext xmlns:c16="http://schemas.microsoft.com/office/drawing/2014/chart" uri="{C3380CC4-5D6E-409C-BE32-E72D297353CC}">
              <c16:uniqueId val="{0000001F-A5E7-4395-8606-3D0829C56A0C}"/>
            </c:ext>
          </c:extLst>
        </c:ser>
        <c:ser>
          <c:idx val="30"/>
          <c:order val="30"/>
          <c:tx>
            <c:strRef>
              <c:f>'Pivot 5'!$AF$3:$AF$4</c:f>
              <c:strCache>
                <c:ptCount val="1"/>
                <c:pt idx="0">
                  <c:v>729</c:v>
                </c:pt>
              </c:strCache>
            </c:strRef>
          </c:tx>
          <c:spPr>
            <a:solidFill>
              <a:schemeClr val="accent1">
                <a:lumMod val="50000"/>
              </a:schemeClr>
            </a:solidFill>
            <a:ln>
              <a:noFill/>
            </a:ln>
            <a:effectLst/>
          </c:spPr>
          <c:invertIfNegative val="0"/>
          <c:cat>
            <c:strRef>
              <c:f>'Pivot 5'!$A$5</c:f>
              <c:strCache>
                <c:ptCount val="1"/>
                <c:pt idx="0">
                  <c:v>Total</c:v>
                </c:pt>
              </c:strCache>
            </c:strRef>
          </c:cat>
          <c:val>
            <c:numRef>
              <c:f>'Pivot 5'!$AF$5</c:f>
              <c:numCache>
                <c:formatCode>\₹#,##0</c:formatCode>
                <c:ptCount val="1"/>
                <c:pt idx="0">
                  <c:v>5303654</c:v>
                </c:pt>
              </c:numCache>
            </c:numRef>
          </c:val>
          <c:extLst>
            <c:ext xmlns:c16="http://schemas.microsoft.com/office/drawing/2014/chart" uri="{C3380CC4-5D6E-409C-BE32-E72D297353CC}">
              <c16:uniqueId val="{00000020-A5E7-4395-8606-3D0829C56A0C}"/>
            </c:ext>
          </c:extLst>
        </c:ser>
        <c:ser>
          <c:idx val="31"/>
          <c:order val="31"/>
          <c:tx>
            <c:strRef>
              <c:f>'Pivot 5'!$AG$3:$AG$4</c:f>
              <c:strCache>
                <c:ptCount val="1"/>
                <c:pt idx="0">
                  <c:v>731</c:v>
                </c:pt>
              </c:strCache>
            </c:strRef>
          </c:tx>
          <c:spPr>
            <a:solidFill>
              <a:schemeClr val="accent2">
                <a:lumMod val="50000"/>
              </a:schemeClr>
            </a:solidFill>
            <a:ln>
              <a:noFill/>
            </a:ln>
            <a:effectLst/>
          </c:spPr>
          <c:invertIfNegative val="0"/>
          <c:cat>
            <c:strRef>
              <c:f>'Pivot 5'!$A$5</c:f>
              <c:strCache>
                <c:ptCount val="1"/>
                <c:pt idx="0">
                  <c:v>Total</c:v>
                </c:pt>
              </c:strCache>
            </c:strRef>
          </c:cat>
          <c:val>
            <c:numRef>
              <c:f>'Pivot 5'!$AG$5</c:f>
              <c:numCache>
                <c:formatCode>\₹#,##0</c:formatCode>
                <c:ptCount val="1"/>
                <c:pt idx="0">
                  <c:v>1030169</c:v>
                </c:pt>
              </c:numCache>
            </c:numRef>
          </c:val>
          <c:extLst>
            <c:ext xmlns:c16="http://schemas.microsoft.com/office/drawing/2014/chart" uri="{C3380CC4-5D6E-409C-BE32-E72D297353CC}">
              <c16:uniqueId val="{00000021-A5E7-4395-8606-3D0829C56A0C}"/>
            </c:ext>
          </c:extLst>
        </c:ser>
        <c:ser>
          <c:idx val="32"/>
          <c:order val="32"/>
          <c:tx>
            <c:strRef>
              <c:f>'Pivot 5'!$AH$3:$AH$4</c:f>
              <c:strCache>
                <c:ptCount val="1"/>
                <c:pt idx="0">
                  <c:v>732</c:v>
                </c:pt>
              </c:strCache>
            </c:strRef>
          </c:tx>
          <c:spPr>
            <a:solidFill>
              <a:schemeClr val="accent3">
                <a:lumMod val="50000"/>
              </a:schemeClr>
            </a:solidFill>
            <a:ln>
              <a:noFill/>
            </a:ln>
            <a:effectLst/>
          </c:spPr>
          <c:invertIfNegative val="0"/>
          <c:cat>
            <c:strRef>
              <c:f>'Pivot 5'!$A$5</c:f>
              <c:strCache>
                <c:ptCount val="1"/>
                <c:pt idx="0">
                  <c:v>Total</c:v>
                </c:pt>
              </c:strCache>
            </c:strRef>
          </c:cat>
          <c:val>
            <c:numRef>
              <c:f>'Pivot 5'!$AH$5</c:f>
              <c:numCache>
                <c:formatCode>\₹#,##0</c:formatCode>
                <c:ptCount val="1"/>
                <c:pt idx="0">
                  <c:v>557791</c:v>
                </c:pt>
              </c:numCache>
            </c:numRef>
          </c:val>
          <c:extLst>
            <c:ext xmlns:c16="http://schemas.microsoft.com/office/drawing/2014/chart" uri="{C3380CC4-5D6E-409C-BE32-E72D297353CC}">
              <c16:uniqueId val="{00000022-A5E7-4395-8606-3D0829C56A0C}"/>
            </c:ext>
          </c:extLst>
        </c:ser>
        <c:ser>
          <c:idx val="33"/>
          <c:order val="33"/>
          <c:tx>
            <c:strRef>
              <c:f>'Pivot 5'!$AI$3:$AI$4</c:f>
              <c:strCache>
                <c:ptCount val="1"/>
                <c:pt idx="0">
                  <c:v>734</c:v>
                </c:pt>
              </c:strCache>
            </c:strRef>
          </c:tx>
          <c:spPr>
            <a:solidFill>
              <a:schemeClr val="accent4">
                <a:lumMod val="50000"/>
              </a:schemeClr>
            </a:solidFill>
            <a:ln>
              <a:noFill/>
            </a:ln>
            <a:effectLst/>
          </c:spPr>
          <c:invertIfNegative val="0"/>
          <c:cat>
            <c:strRef>
              <c:f>'Pivot 5'!$A$5</c:f>
              <c:strCache>
                <c:ptCount val="1"/>
                <c:pt idx="0">
                  <c:v>Total</c:v>
                </c:pt>
              </c:strCache>
            </c:strRef>
          </c:cat>
          <c:val>
            <c:numRef>
              <c:f>'Pivot 5'!$AI$5</c:f>
              <c:numCache>
                <c:formatCode>\₹#,##0</c:formatCode>
                <c:ptCount val="1"/>
                <c:pt idx="0">
                  <c:v>890649</c:v>
                </c:pt>
              </c:numCache>
            </c:numRef>
          </c:val>
          <c:extLst>
            <c:ext xmlns:c16="http://schemas.microsoft.com/office/drawing/2014/chart" uri="{C3380CC4-5D6E-409C-BE32-E72D297353CC}">
              <c16:uniqueId val="{00000023-A5E7-4395-8606-3D0829C56A0C}"/>
            </c:ext>
          </c:extLst>
        </c:ser>
        <c:ser>
          <c:idx val="34"/>
          <c:order val="34"/>
          <c:tx>
            <c:strRef>
              <c:f>'Pivot 5'!$AJ$3:$AJ$4</c:f>
              <c:strCache>
                <c:ptCount val="1"/>
                <c:pt idx="0">
                  <c:v>735</c:v>
                </c:pt>
              </c:strCache>
            </c:strRef>
          </c:tx>
          <c:spPr>
            <a:solidFill>
              <a:schemeClr val="accent5">
                <a:lumMod val="50000"/>
              </a:schemeClr>
            </a:solidFill>
            <a:ln>
              <a:noFill/>
            </a:ln>
            <a:effectLst/>
          </c:spPr>
          <c:invertIfNegative val="0"/>
          <c:cat>
            <c:strRef>
              <c:f>'Pivot 5'!$A$5</c:f>
              <c:strCache>
                <c:ptCount val="1"/>
                <c:pt idx="0">
                  <c:v>Total</c:v>
                </c:pt>
              </c:strCache>
            </c:strRef>
          </c:cat>
          <c:val>
            <c:numRef>
              <c:f>'Pivot 5'!$AJ$5</c:f>
              <c:numCache>
                <c:formatCode>\₹#,##0</c:formatCode>
                <c:ptCount val="1"/>
                <c:pt idx="0">
                  <c:v>2718739</c:v>
                </c:pt>
              </c:numCache>
            </c:numRef>
          </c:val>
          <c:extLst>
            <c:ext xmlns:c16="http://schemas.microsoft.com/office/drawing/2014/chart" uri="{C3380CC4-5D6E-409C-BE32-E72D297353CC}">
              <c16:uniqueId val="{00000024-A5E7-4395-8606-3D0829C56A0C}"/>
            </c:ext>
          </c:extLst>
        </c:ser>
        <c:ser>
          <c:idx val="35"/>
          <c:order val="35"/>
          <c:tx>
            <c:strRef>
              <c:f>'Pivot 5'!$AK$3:$AK$4</c:f>
              <c:strCache>
                <c:ptCount val="1"/>
                <c:pt idx="0">
                  <c:v>740</c:v>
                </c:pt>
              </c:strCache>
            </c:strRef>
          </c:tx>
          <c:spPr>
            <a:solidFill>
              <a:schemeClr val="accent6">
                <a:lumMod val="50000"/>
              </a:schemeClr>
            </a:solidFill>
            <a:ln>
              <a:noFill/>
            </a:ln>
            <a:effectLst/>
          </c:spPr>
          <c:invertIfNegative val="0"/>
          <c:cat>
            <c:strRef>
              <c:f>'Pivot 5'!$A$5</c:f>
              <c:strCache>
                <c:ptCount val="1"/>
                <c:pt idx="0">
                  <c:v>Total</c:v>
                </c:pt>
              </c:strCache>
            </c:strRef>
          </c:cat>
          <c:val>
            <c:numRef>
              <c:f>'Pivot 5'!$AK$5</c:f>
              <c:numCache>
                <c:formatCode>\₹#,##0</c:formatCode>
                <c:ptCount val="1"/>
                <c:pt idx="0">
                  <c:v>1054913</c:v>
                </c:pt>
              </c:numCache>
            </c:numRef>
          </c:val>
          <c:extLst>
            <c:ext xmlns:c16="http://schemas.microsoft.com/office/drawing/2014/chart" uri="{C3380CC4-5D6E-409C-BE32-E72D297353CC}">
              <c16:uniqueId val="{00000025-A5E7-4395-8606-3D0829C56A0C}"/>
            </c:ext>
          </c:extLst>
        </c:ser>
        <c:ser>
          <c:idx val="36"/>
          <c:order val="36"/>
          <c:tx>
            <c:strRef>
              <c:f>'Pivot 5'!$AL$3:$AL$4</c:f>
              <c:strCache>
                <c:ptCount val="1"/>
                <c:pt idx="0">
                  <c:v>741</c:v>
                </c:pt>
              </c:strCache>
            </c:strRef>
          </c:tx>
          <c:spPr>
            <a:solidFill>
              <a:schemeClr val="accent1">
                <a:lumMod val="70000"/>
                <a:lumOff val="30000"/>
              </a:schemeClr>
            </a:solidFill>
            <a:ln>
              <a:noFill/>
            </a:ln>
            <a:effectLst/>
          </c:spPr>
          <c:invertIfNegative val="0"/>
          <c:cat>
            <c:strRef>
              <c:f>'Pivot 5'!$A$5</c:f>
              <c:strCache>
                <c:ptCount val="1"/>
                <c:pt idx="0">
                  <c:v>Total</c:v>
                </c:pt>
              </c:strCache>
            </c:strRef>
          </c:cat>
          <c:val>
            <c:numRef>
              <c:f>'Pivot 5'!$AL$5</c:f>
              <c:numCache>
                <c:formatCode>\₹#,##0</c:formatCode>
                <c:ptCount val="1"/>
                <c:pt idx="0">
                  <c:v>7180118</c:v>
                </c:pt>
              </c:numCache>
            </c:numRef>
          </c:val>
          <c:extLst>
            <c:ext xmlns:c16="http://schemas.microsoft.com/office/drawing/2014/chart" uri="{C3380CC4-5D6E-409C-BE32-E72D297353CC}">
              <c16:uniqueId val="{00000026-A5E7-4395-8606-3D0829C56A0C}"/>
            </c:ext>
          </c:extLst>
        </c:ser>
        <c:ser>
          <c:idx val="37"/>
          <c:order val="37"/>
          <c:tx>
            <c:strRef>
              <c:f>'Pivot 5'!$AM$3:$AM$4</c:f>
              <c:strCache>
                <c:ptCount val="1"/>
                <c:pt idx="0">
                  <c:v>747</c:v>
                </c:pt>
              </c:strCache>
            </c:strRef>
          </c:tx>
          <c:spPr>
            <a:solidFill>
              <a:schemeClr val="accent2">
                <a:lumMod val="70000"/>
                <a:lumOff val="30000"/>
              </a:schemeClr>
            </a:solidFill>
            <a:ln>
              <a:noFill/>
            </a:ln>
            <a:effectLst/>
          </c:spPr>
          <c:invertIfNegative val="0"/>
          <c:cat>
            <c:strRef>
              <c:f>'Pivot 5'!$A$5</c:f>
              <c:strCache>
                <c:ptCount val="1"/>
                <c:pt idx="0">
                  <c:v>Total</c:v>
                </c:pt>
              </c:strCache>
            </c:strRef>
          </c:cat>
          <c:val>
            <c:numRef>
              <c:f>'Pivot 5'!$AM$5</c:f>
              <c:numCache>
                <c:formatCode>\₹#,##0</c:formatCode>
                <c:ptCount val="1"/>
                <c:pt idx="0">
                  <c:v>1361160</c:v>
                </c:pt>
              </c:numCache>
            </c:numRef>
          </c:val>
          <c:extLst>
            <c:ext xmlns:c16="http://schemas.microsoft.com/office/drawing/2014/chart" uri="{C3380CC4-5D6E-409C-BE32-E72D297353CC}">
              <c16:uniqueId val="{00000027-A5E7-4395-8606-3D0829C56A0C}"/>
            </c:ext>
          </c:extLst>
        </c:ser>
        <c:ser>
          <c:idx val="38"/>
          <c:order val="38"/>
          <c:tx>
            <c:strRef>
              <c:f>'Pivot 5'!$AN$3:$AN$4</c:f>
              <c:strCache>
                <c:ptCount val="1"/>
                <c:pt idx="0">
                  <c:v>750</c:v>
                </c:pt>
              </c:strCache>
            </c:strRef>
          </c:tx>
          <c:spPr>
            <a:solidFill>
              <a:schemeClr val="accent3">
                <a:lumMod val="70000"/>
                <a:lumOff val="30000"/>
              </a:schemeClr>
            </a:solidFill>
            <a:ln>
              <a:noFill/>
            </a:ln>
            <a:effectLst/>
          </c:spPr>
          <c:invertIfNegative val="0"/>
          <c:cat>
            <c:strRef>
              <c:f>'Pivot 5'!$A$5</c:f>
              <c:strCache>
                <c:ptCount val="1"/>
                <c:pt idx="0">
                  <c:v>Total</c:v>
                </c:pt>
              </c:strCache>
            </c:strRef>
          </c:cat>
          <c:val>
            <c:numRef>
              <c:f>'Pivot 5'!$AN$5</c:f>
              <c:numCache>
                <c:formatCode>\₹#,##0</c:formatCode>
                <c:ptCount val="1"/>
                <c:pt idx="0">
                  <c:v>302120</c:v>
                </c:pt>
              </c:numCache>
            </c:numRef>
          </c:val>
          <c:extLst>
            <c:ext xmlns:c16="http://schemas.microsoft.com/office/drawing/2014/chart" uri="{C3380CC4-5D6E-409C-BE32-E72D297353CC}">
              <c16:uniqueId val="{00000028-A5E7-4395-8606-3D0829C56A0C}"/>
            </c:ext>
          </c:extLst>
        </c:ser>
        <c:ser>
          <c:idx val="39"/>
          <c:order val="39"/>
          <c:tx>
            <c:strRef>
              <c:f>'Pivot 5'!$AO$3:$AO$4</c:f>
              <c:strCache>
                <c:ptCount val="1"/>
                <c:pt idx="0">
                  <c:v>751</c:v>
                </c:pt>
              </c:strCache>
            </c:strRef>
          </c:tx>
          <c:spPr>
            <a:solidFill>
              <a:schemeClr val="accent4">
                <a:lumMod val="70000"/>
                <a:lumOff val="30000"/>
              </a:schemeClr>
            </a:solidFill>
            <a:ln>
              <a:noFill/>
            </a:ln>
            <a:effectLst/>
          </c:spPr>
          <c:invertIfNegative val="0"/>
          <c:cat>
            <c:strRef>
              <c:f>'Pivot 5'!$A$5</c:f>
              <c:strCache>
                <c:ptCount val="1"/>
                <c:pt idx="0">
                  <c:v>Total</c:v>
                </c:pt>
              </c:strCache>
            </c:strRef>
          </c:cat>
          <c:val>
            <c:numRef>
              <c:f>'Pivot 5'!$AO$5</c:f>
              <c:numCache>
                <c:formatCode>\₹#,##0</c:formatCode>
                <c:ptCount val="1"/>
                <c:pt idx="0">
                  <c:v>5500420</c:v>
                </c:pt>
              </c:numCache>
            </c:numRef>
          </c:val>
          <c:extLst>
            <c:ext xmlns:c16="http://schemas.microsoft.com/office/drawing/2014/chart" uri="{C3380CC4-5D6E-409C-BE32-E72D297353CC}">
              <c16:uniqueId val="{00000029-A5E7-4395-8606-3D0829C56A0C}"/>
            </c:ext>
          </c:extLst>
        </c:ser>
        <c:ser>
          <c:idx val="40"/>
          <c:order val="40"/>
          <c:tx>
            <c:strRef>
              <c:f>'Pivot 5'!$AP$3:$AP$4</c:f>
              <c:strCache>
                <c:ptCount val="1"/>
                <c:pt idx="0">
                  <c:v>752</c:v>
                </c:pt>
              </c:strCache>
            </c:strRef>
          </c:tx>
          <c:spPr>
            <a:solidFill>
              <a:schemeClr val="accent5">
                <a:lumMod val="70000"/>
                <a:lumOff val="30000"/>
              </a:schemeClr>
            </a:solidFill>
            <a:ln>
              <a:noFill/>
            </a:ln>
            <a:effectLst/>
          </c:spPr>
          <c:invertIfNegative val="0"/>
          <c:cat>
            <c:strRef>
              <c:f>'Pivot 5'!$A$5</c:f>
              <c:strCache>
                <c:ptCount val="1"/>
                <c:pt idx="0">
                  <c:v>Total</c:v>
                </c:pt>
              </c:strCache>
            </c:strRef>
          </c:cat>
          <c:val>
            <c:numRef>
              <c:f>'Pivot 5'!$AP$5</c:f>
              <c:numCache>
                <c:formatCode>\₹#,##0</c:formatCode>
                <c:ptCount val="1"/>
                <c:pt idx="0">
                  <c:v>363010</c:v>
                </c:pt>
              </c:numCache>
            </c:numRef>
          </c:val>
          <c:extLst>
            <c:ext xmlns:c16="http://schemas.microsoft.com/office/drawing/2014/chart" uri="{C3380CC4-5D6E-409C-BE32-E72D297353CC}">
              <c16:uniqueId val="{0000002A-A5E7-4395-8606-3D0829C56A0C}"/>
            </c:ext>
          </c:extLst>
        </c:ser>
        <c:ser>
          <c:idx val="41"/>
          <c:order val="41"/>
          <c:tx>
            <c:strRef>
              <c:f>'Pivot 5'!$AQ$3:$AQ$4</c:f>
              <c:strCache>
                <c:ptCount val="1"/>
                <c:pt idx="0">
                  <c:v>755</c:v>
                </c:pt>
              </c:strCache>
            </c:strRef>
          </c:tx>
          <c:spPr>
            <a:solidFill>
              <a:schemeClr val="accent6">
                <a:lumMod val="70000"/>
                <a:lumOff val="30000"/>
              </a:schemeClr>
            </a:solidFill>
            <a:ln>
              <a:noFill/>
            </a:ln>
            <a:effectLst/>
          </c:spPr>
          <c:invertIfNegative val="0"/>
          <c:cat>
            <c:strRef>
              <c:f>'Pivot 5'!$A$5</c:f>
              <c:strCache>
                <c:ptCount val="1"/>
                <c:pt idx="0">
                  <c:v>Total</c:v>
                </c:pt>
              </c:strCache>
            </c:strRef>
          </c:cat>
          <c:val>
            <c:numRef>
              <c:f>'Pivot 5'!$AQ$5</c:f>
              <c:numCache>
                <c:formatCode>\₹#,##0</c:formatCode>
                <c:ptCount val="1"/>
                <c:pt idx="0">
                  <c:v>2180325</c:v>
                </c:pt>
              </c:numCache>
            </c:numRef>
          </c:val>
          <c:extLst>
            <c:ext xmlns:c16="http://schemas.microsoft.com/office/drawing/2014/chart" uri="{C3380CC4-5D6E-409C-BE32-E72D297353CC}">
              <c16:uniqueId val="{0000002B-A5E7-4395-8606-3D0829C56A0C}"/>
            </c:ext>
          </c:extLst>
        </c:ser>
        <c:ser>
          <c:idx val="42"/>
          <c:order val="42"/>
          <c:tx>
            <c:strRef>
              <c:f>'Pivot 5'!$AR$3:$AR$4</c:f>
              <c:strCache>
                <c:ptCount val="1"/>
                <c:pt idx="0">
                  <c:v>756</c:v>
                </c:pt>
              </c:strCache>
            </c:strRef>
          </c:tx>
          <c:spPr>
            <a:solidFill>
              <a:schemeClr val="accent1">
                <a:lumMod val="70000"/>
              </a:schemeClr>
            </a:solidFill>
            <a:ln>
              <a:noFill/>
            </a:ln>
            <a:effectLst/>
          </c:spPr>
          <c:invertIfNegative val="0"/>
          <c:cat>
            <c:strRef>
              <c:f>'Pivot 5'!$A$5</c:f>
              <c:strCache>
                <c:ptCount val="1"/>
                <c:pt idx="0">
                  <c:v>Total</c:v>
                </c:pt>
              </c:strCache>
            </c:strRef>
          </c:cat>
          <c:val>
            <c:numRef>
              <c:f>'Pivot 5'!$AR$5</c:f>
              <c:numCache>
                <c:formatCode>\₹#,##0</c:formatCode>
                <c:ptCount val="1"/>
                <c:pt idx="0">
                  <c:v>1682261</c:v>
                </c:pt>
              </c:numCache>
            </c:numRef>
          </c:val>
          <c:extLst>
            <c:ext xmlns:c16="http://schemas.microsoft.com/office/drawing/2014/chart" uri="{C3380CC4-5D6E-409C-BE32-E72D297353CC}">
              <c16:uniqueId val="{0000002C-A5E7-4395-8606-3D0829C56A0C}"/>
            </c:ext>
          </c:extLst>
        </c:ser>
        <c:ser>
          <c:idx val="43"/>
          <c:order val="43"/>
          <c:tx>
            <c:strRef>
              <c:f>'Pivot 5'!$AS$3:$AS$4</c:f>
              <c:strCache>
                <c:ptCount val="1"/>
                <c:pt idx="0">
                  <c:v>762</c:v>
                </c:pt>
              </c:strCache>
            </c:strRef>
          </c:tx>
          <c:spPr>
            <a:solidFill>
              <a:schemeClr val="accent2">
                <a:lumMod val="70000"/>
              </a:schemeClr>
            </a:solidFill>
            <a:ln>
              <a:noFill/>
            </a:ln>
            <a:effectLst/>
          </c:spPr>
          <c:invertIfNegative val="0"/>
          <c:cat>
            <c:strRef>
              <c:f>'Pivot 5'!$A$5</c:f>
              <c:strCache>
                <c:ptCount val="1"/>
                <c:pt idx="0">
                  <c:v>Total</c:v>
                </c:pt>
              </c:strCache>
            </c:strRef>
          </c:cat>
          <c:val>
            <c:numRef>
              <c:f>'Pivot 5'!$AS$5</c:f>
              <c:numCache>
                <c:formatCode>\₹#,##0</c:formatCode>
                <c:ptCount val="1"/>
                <c:pt idx="0">
                  <c:v>3559660</c:v>
                </c:pt>
              </c:numCache>
            </c:numRef>
          </c:val>
          <c:extLst>
            <c:ext xmlns:c16="http://schemas.microsoft.com/office/drawing/2014/chart" uri="{C3380CC4-5D6E-409C-BE32-E72D297353CC}">
              <c16:uniqueId val="{0000002D-A5E7-4395-8606-3D0829C56A0C}"/>
            </c:ext>
          </c:extLst>
        </c:ser>
        <c:ser>
          <c:idx val="44"/>
          <c:order val="44"/>
          <c:tx>
            <c:strRef>
              <c:f>'Pivot 5'!$AT$3:$AT$4</c:f>
              <c:strCache>
                <c:ptCount val="1"/>
                <c:pt idx="0">
                  <c:v>763</c:v>
                </c:pt>
              </c:strCache>
            </c:strRef>
          </c:tx>
          <c:spPr>
            <a:solidFill>
              <a:schemeClr val="accent3">
                <a:lumMod val="70000"/>
              </a:schemeClr>
            </a:solidFill>
            <a:ln>
              <a:noFill/>
            </a:ln>
            <a:effectLst/>
          </c:spPr>
          <c:invertIfNegative val="0"/>
          <c:cat>
            <c:strRef>
              <c:f>'Pivot 5'!$A$5</c:f>
              <c:strCache>
                <c:ptCount val="1"/>
                <c:pt idx="0">
                  <c:v>Total</c:v>
                </c:pt>
              </c:strCache>
            </c:strRef>
          </c:cat>
          <c:val>
            <c:numRef>
              <c:f>'Pivot 5'!$AT$5</c:f>
              <c:numCache>
                <c:formatCode>\₹#,##0</c:formatCode>
                <c:ptCount val="1"/>
                <c:pt idx="0">
                  <c:v>1301959</c:v>
                </c:pt>
              </c:numCache>
            </c:numRef>
          </c:val>
          <c:extLst>
            <c:ext xmlns:c16="http://schemas.microsoft.com/office/drawing/2014/chart" uri="{C3380CC4-5D6E-409C-BE32-E72D297353CC}">
              <c16:uniqueId val="{0000002E-A5E7-4395-8606-3D0829C56A0C}"/>
            </c:ext>
          </c:extLst>
        </c:ser>
        <c:ser>
          <c:idx val="45"/>
          <c:order val="45"/>
          <c:tx>
            <c:strRef>
              <c:f>'Pivot 5'!$AU$3:$AU$4</c:f>
              <c:strCache>
                <c:ptCount val="1"/>
                <c:pt idx="0">
                  <c:v>767</c:v>
                </c:pt>
              </c:strCache>
            </c:strRef>
          </c:tx>
          <c:spPr>
            <a:solidFill>
              <a:schemeClr val="accent4">
                <a:lumMod val="70000"/>
              </a:schemeClr>
            </a:solidFill>
            <a:ln>
              <a:noFill/>
            </a:ln>
            <a:effectLst/>
          </c:spPr>
          <c:invertIfNegative val="0"/>
          <c:cat>
            <c:strRef>
              <c:f>'Pivot 5'!$A$5</c:f>
              <c:strCache>
                <c:ptCount val="1"/>
                <c:pt idx="0">
                  <c:v>Total</c:v>
                </c:pt>
              </c:strCache>
            </c:strRef>
          </c:cat>
          <c:val>
            <c:numRef>
              <c:f>'Pivot 5'!$AU$5</c:f>
              <c:numCache>
                <c:formatCode>\₹#,##0</c:formatCode>
                <c:ptCount val="1"/>
                <c:pt idx="0">
                  <c:v>5477923</c:v>
                </c:pt>
              </c:numCache>
            </c:numRef>
          </c:val>
          <c:extLst>
            <c:ext xmlns:c16="http://schemas.microsoft.com/office/drawing/2014/chart" uri="{C3380CC4-5D6E-409C-BE32-E72D297353CC}">
              <c16:uniqueId val="{0000002F-A5E7-4395-8606-3D0829C56A0C}"/>
            </c:ext>
          </c:extLst>
        </c:ser>
        <c:ser>
          <c:idx val="46"/>
          <c:order val="46"/>
          <c:tx>
            <c:strRef>
              <c:f>'Pivot 5'!$AV$3:$AV$4</c:f>
              <c:strCache>
                <c:ptCount val="1"/>
                <c:pt idx="0">
                  <c:v>769</c:v>
                </c:pt>
              </c:strCache>
            </c:strRef>
          </c:tx>
          <c:spPr>
            <a:solidFill>
              <a:schemeClr val="accent5">
                <a:lumMod val="70000"/>
              </a:schemeClr>
            </a:solidFill>
            <a:ln>
              <a:noFill/>
            </a:ln>
            <a:effectLst/>
          </c:spPr>
          <c:invertIfNegative val="0"/>
          <c:cat>
            <c:strRef>
              <c:f>'Pivot 5'!$A$5</c:f>
              <c:strCache>
                <c:ptCount val="1"/>
                <c:pt idx="0">
                  <c:v>Total</c:v>
                </c:pt>
              </c:strCache>
            </c:strRef>
          </c:cat>
          <c:val>
            <c:numRef>
              <c:f>'Pivot 5'!$AV$5</c:f>
              <c:numCache>
                <c:formatCode>\₹#,##0</c:formatCode>
                <c:ptCount val="1"/>
                <c:pt idx="0">
                  <c:v>547194</c:v>
                </c:pt>
              </c:numCache>
            </c:numRef>
          </c:val>
          <c:extLst>
            <c:ext xmlns:c16="http://schemas.microsoft.com/office/drawing/2014/chart" uri="{C3380CC4-5D6E-409C-BE32-E72D297353CC}">
              <c16:uniqueId val="{00000030-A5E7-4395-8606-3D0829C56A0C}"/>
            </c:ext>
          </c:extLst>
        </c:ser>
        <c:ser>
          <c:idx val="47"/>
          <c:order val="47"/>
          <c:tx>
            <c:strRef>
              <c:f>'Pivot 5'!$AW$3:$AW$4</c:f>
              <c:strCache>
                <c:ptCount val="1"/>
                <c:pt idx="0">
                  <c:v>778</c:v>
                </c:pt>
              </c:strCache>
            </c:strRef>
          </c:tx>
          <c:spPr>
            <a:solidFill>
              <a:schemeClr val="accent6">
                <a:lumMod val="70000"/>
              </a:schemeClr>
            </a:solidFill>
            <a:ln>
              <a:noFill/>
            </a:ln>
            <a:effectLst/>
          </c:spPr>
          <c:invertIfNegative val="0"/>
          <c:cat>
            <c:strRef>
              <c:f>'Pivot 5'!$A$5</c:f>
              <c:strCache>
                <c:ptCount val="1"/>
                <c:pt idx="0">
                  <c:v>Total</c:v>
                </c:pt>
              </c:strCache>
            </c:strRef>
          </c:cat>
          <c:val>
            <c:numRef>
              <c:f>'Pivot 5'!$AW$5</c:f>
              <c:numCache>
                <c:formatCode>\₹#,##0</c:formatCode>
                <c:ptCount val="1"/>
                <c:pt idx="0">
                  <c:v>3559947</c:v>
                </c:pt>
              </c:numCache>
            </c:numRef>
          </c:val>
          <c:extLst>
            <c:ext xmlns:c16="http://schemas.microsoft.com/office/drawing/2014/chart" uri="{C3380CC4-5D6E-409C-BE32-E72D297353CC}">
              <c16:uniqueId val="{00000031-A5E7-4395-8606-3D0829C56A0C}"/>
            </c:ext>
          </c:extLst>
        </c:ser>
        <c:ser>
          <c:idx val="48"/>
          <c:order val="48"/>
          <c:tx>
            <c:strRef>
              <c:f>'Pivot 5'!$AX$3:$AX$4</c:f>
              <c:strCache>
                <c:ptCount val="1"/>
                <c:pt idx="0">
                  <c:v>779</c:v>
                </c:pt>
              </c:strCache>
            </c:strRef>
          </c:tx>
          <c:spPr>
            <a:solidFill>
              <a:schemeClr val="accent1">
                <a:lumMod val="50000"/>
                <a:lumOff val="50000"/>
              </a:schemeClr>
            </a:solidFill>
            <a:ln>
              <a:noFill/>
            </a:ln>
            <a:effectLst/>
          </c:spPr>
          <c:invertIfNegative val="0"/>
          <c:cat>
            <c:strRef>
              <c:f>'Pivot 5'!$A$5</c:f>
              <c:strCache>
                <c:ptCount val="1"/>
                <c:pt idx="0">
                  <c:v>Total</c:v>
                </c:pt>
              </c:strCache>
            </c:strRef>
          </c:cat>
          <c:val>
            <c:numRef>
              <c:f>'Pivot 5'!$AX$5</c:f>
              <c:numCache>
                <c:formatCode>\₹#,##0</c:formatCode>
                <c:ptCount val="1"/>
                <c:pt idx="0">
                  <c:v>1033308</c:v>
                </c:pt>
              </c:numCache>
            </c:numRef>
          </c:val>
          <c:extLst>
            <c:ext xmlns:c16="http://schemas.microsoft.com/office/drawing/2014/chart" uri="{C3380CC4-5D6E-409C-BE32-E72D297353CC}">
              <c16:uniqueId val="{00000032-A5E7-4395-8606-3D0829C56A0C}"/>
            </c:ext>
          </c:extLst>
        </c:ser>
        <c:ser>
          <c:idx val="49"/>
          <c:order val="49"/>
          <c:tx>
            <c:strRef>
              <c:f>'Pivot 5'!$AY$3:$AY$4</c:f>
              <c:strCache>
                <c:ptCount val="1"/>
                <c:pt idx="0">
                  <c:v>783</c:v>
                </c:pt>
              </c:strCache>
            </c:strRef>
          </c:tx>
          <c:spPr>
            <a:solidFill>
              <a:schemeClr val="accent2">
                <a:lumMod val="50000"/>
                <a:lumOff val="50000"/>
              </a:schemeClr>
            </a:solidFill>
            <a:ln>
              <a:noFill/>
            </a:ln>
            <a:effectLst/>
          </c:spPr>
          <c:invertIfNegative val="0"/>
          <c:cat>
            <c:strRef>
              <c:f>'Pivot 5'!$A$5</c:f>
              <c:strCache>
                <c:ptCount val="1"/>
                <c:pt idx="0">
                  <c:v>Total</c:v>
                </c:pt>
              </c:strCache>
            </c:strRef>
          </c:cat>
          <c:val>
            <c:numRef>
              <c:f>'Pivot 5'!$AY$5</c:f>
              <c:numCache>
                <c:formatCode>\₹#,##0</c:formatCode>
                <c:ptCount val="1"/>
                <c:pt idx="0">
                  <c:v>1060835</c:v>
                </c:pt>
              </c:numCache>
            </c:numRef>
          </c:val>
          <c:extLst>
            <c:ext xmlns:c16="http://schemas.microsoft.com/office/drawing/2014/chart" uri="{C3380CC4-5D6E-409C-BE32-E72D297353CC}">
              <c16:uniqueId val="{00000033-A5E7-4395-8606-3D0829C56A0C}"/>
            </c:ext>
          </c:extLst>
        </c:ser>
        <c:ser>
          <c:idx val="50"/>
          <c:order val="50"/>
          <c:tx>
            <c:strRef>
              <c:f>'Pivot 5'!$AZ$3:$AZ$4</c:f>
              <c:strCache>
                <c:ptCount val="1"/>
                <c:pt idx="0">
                  <c:v>787</c:v>
                </c:pt>
              </c:strCache>
            </c:strRef>
          </c:tx>
          <c:spPr>
            <a:solidFill>
              <a:schemeClr val="accent3">
                <a:lumMod val="50000"/>
                <a:lumOff val="50000"/>
              </a:schemeClr>
            </a:solidFill>
            <a:ln>
              <a:noFill/>
            </a:ln>
            <a:effectLst/>
          </c:spPr>
          <c:invertIfNegative val="0"/>
          <c:cat>
            <c:strRef>
              <c:f>'Pivot 5'!$A$5</c:f>
              <c:strCache>
                <c:ptCount val="1"/>
                <c:pt idx="0">
                  <c:v>Total</c:v>
                </c:pt>
              </c:strCache>
            </c:strRef>
          </c:cat>
          <c:val>
            <c:numRef>
              <c:f>'Pivot 5'!$AZ$5</c:f>
              <c:numCache>
                <c:formatCode>\₹#,##0</c:formatCode>
                <c:ptCount val="1"/>
                <c:pt idx="0">
                  <c:v>1989867</c:v>
                </c:pt>
              </c:numCache>
            </c:numRef>
          </c:val>
          <c:extLst>
            <c:ext xmlns:c16="http://schemas.microsoft.com/office/drawing/2014/chart" uri="{C3380CC4-5D6E-409C-BE32-E72D297353CC}">
              <c16:uniqueId val="{00000034-A5E7-4395-8606-3D0829C56A0C}"/>
            </c:ext>
          </c:extLst>
        </c:ser>
        <c:ser>
          <c:idx val="51"/>
          <c:order val="51"/>
          <c:tx>
            <c:strRef>
              <c:f>'Pivot 5'!$BA$3:$BA$4</c:f>
              <c:strCache>
                <c:ptCount val="1"/>
                <c:pt idx="0">
                  <c:v>791</c:v>
                </c:pt>
              </c:strCache>
            </c:strRef>
          </c:tx>
          <c:spPr>
            <a:solidFill>
              <a:schemeClr val="accent4">
                <a:lumMod val="50000"/>
                <a:lumOff val="50000"/>
              </a:schemeClr>
            </a:solidFill>
            <a:ln>
              <a:noFill/>
            </a:ln>
            <a:effectLst/>
          </c:spPr>
          <c:invertIfNegative val="0"/>
          <c:cat>
            <c:strRef>
              <c:f>'Pivot 5'!$A$5</c:f>
              <c:strCache>
                <c:ptCount val="1"/>
                <c:pt idx="0">
                  <c:v>Total</c:v>
                </c:pt>
              </c:strCache>
            </c:strRef>
          </c:cat>
          <c:val>
            <c:numRef>
              <c:f>'Pivot 5'!$BA$5</c:f>
              <c:numCache>
                <c:formatCode>\₹#,##0</c:formatCode>
                <c:ptCount val="1"/>
                <c:pt idx="0">
                  <c:v>6771474</c:v>
                </c:pt>
              </c:numCache>
            </c:numRef>
          </c:val>
          <c:extLst>
            <c:ext xmlns:c16="http://schemas.microsoft.com/office/drawing/2014/chart" uri="{C3380CC4-5D6E-409C-BE32-E72D297353CC}">
              <c16:uniqueId val="{00000035-A5E7-4395-8606-3D0829C56A0C}"/>
            </c:ext>
          </c:extLst>
        </c:ser>
        <c:ser>
          <c:idx val="52"/>
          <c:order val="52"/>
          <c:tx>
            <c:strRef>
              <c:f>'Pivot 5'!$BB$3:$BB$4</c:f>
              <c:strCache>
                <c:ptCount val="1"/>
                <c:pt idx="0">
                  <c:v>799</c:v>
                </c:pt>
              </c:strCache>
            </c:strRef>
          </c:tx>
          <c:spPr>
            <a:solidFill>
              <a:schemeClr val="accent5">
                <a:lumMod val="50000"/>
                <a:lumOff val="50000"/>
              </a:schemeClr>
            </a:solidFill>
            <a:ln>
              <a:noFill/>
            </a:ln>
            <a:effectLst/>
          </c:spPr>
          <c:invertIfNegative val="0"/>
          <c:cat>
            <c:strRef>
              <c:f>'Pivot 5'!$A$5</c:f>
              <c:strCache>
                <c:ptCount val="1"/>
                <c:pt idx="0">
                  <c:v>Total</c:v>
                </c:pt>
              </c:strCache>
            </c:strRef>
          </c:cat>
          <c:val>
            <c:numRef>
              <c:f>'Pivot 5'!$BB$5</c:f>
              <c:numCache>
                <c:formatCode>\₹#,##0</c:formatCode>
                <c:ptCount val="1"/>
                <c:pt idx="0">
                  <c:v>2790369</c:v>
                </c:pt>
              </c:numCache>
            </c:numRef>
          </c:val>
          <c:extLst>
            <c:ext xmlns:c16="http://schemas.microsoft.com/office/drawing/2014/chart" uri="{C3380CC4-5D6E-409C-BE32-E72D297353CC}">
              <c16:uniqueId val="{00000036-A5E7-4395-8606-3D0829C56A0C}"/>
            </c:ext>
          </c:extLst>
        </c:ser>
        <c:ser>
          <c:idx val="53"/>
          <c:order val="53"/>
          <c:tx>
            <c:strRef>
              <c:f>'Pivot 5'!$BC$3:$BC$4</c:f>
              <c:strCache>
                <c:ptCount val="1"/>
                <c:pt idx="0">
                  <c:v>808</c:v>
                </c:pt>
              </c:strCache>
            </c:strRef>
          </c:tx>
          <c:spPr>
            <a:solidFill>
              <a:schemeClr val="accent6">
                <a:lumMod val="50000"/>
                <a:lumOff val="50000"/>
              </a:schemeClr>
            </a:solidFill>
            <a:ln>
              <a:noFill/>
            </a:ln>
            <a:effectLst/>
          </c:spPr>
          <c:invertIfNegative val="0"/>
          <c:cat>
            <c:strRef>
              <c:f>'Pivot 5'!$A$5</c:f>
              <c:strCache>
                <c:ptCount val="1"/>
                <c:pt idx="0">
                  <c:v>Total</c:v>
                </c:pt>
              </c:strCache>
            </c:strRef>
          </c:cat>
          <c:val>
            <c:numRef>
              <c:f>'Pivot 5'!$BC$5</c:f>
              <c:numCache>
                <c:formatCode>\₹#,##0</c:formatCode>
                <c:ptCount val="1"/>
                <c:pt idx="0">
                  <c:v>372779</c:v>
                </c:pt>
              </c:numCache>
            </c:numRef>
          </c:val>
          <c:extLst>
            <c:ext xmlns:c16="http://schemas.microsoft.com/office/drawing/2014/chart" uri="{C3380CC4-5D6E-409C-BE32-E72D297353CC}">
              <c16:uniqueId val="{00000037-A5E7-4395-8606-3D0829C56A0C}"/>
            </c:ext>
          </c:extLst>
        </c:ser>
        <c:ser>
          <c:idx val="54"/>
          <c:order val="54"/>
          <c:tx>
            <c:strRef>
              <c:f>'Pivot 5'!$BD$3:$BD$4</c:f>
              <c:strCache>
                <c:ptCount val="1"/>
                <c:pt idx="0">
                  <c:v>809</c:v>
                </c:pt>
              </c:strCache>
            </c:strRef>
          </c:tx>
          <c:spPr>
            <a:solidFill>
              <a:schemeClr val="accent1"/>
            </a:solidFill>
            <a:ln>
              <a:noFill/>
            </a:ln>
            <a:effectLst/>
          </c:spPr>
          <c:invertIfNegative val="0"/>
          <c:cat>
            <c:strRef>
              <c:f>'Pivot 5'!$A$5</c:f>
              <c:strCache>
                <c:ptCount val="1"/>
                <c:pt idx="0">
                  <c:v>Total</c:v>
                </c:pt>
              </c:strCache>
            </c:strRef>
          </c:cat>
          <c:val>
            <c:numRef>
              <c:f>'Pivot 5'!$BD$5</c:f>
              <c:numCache>
                <c:formatCode>\₹#,##0</c:formatCode>
                <c:ptCount val="1"/>
                <c:pt idx="0">
                  <c:v>1750683</c:v>
                </c:pt>
              </c:numCache>
            </c:numRef>
          </c:val>
          <c:extLst>
            <c:ext xmlns:c16="http://schemas.microsoft.com/office/drawing/2014/chart" uri="{C3380CC4-5D6E-409C-BE32-E72D297353CC}">
              <c16:uniqueId val="{00000038-A5E7-4395-8606-3D0829C56A0C}"/>
            </c:ext>
          </c:extLst>
        </c:ser>
        <c:ser>
          <c:idx val="55"/>
          <c:order val="55"/>
          <c:tx>
            <c:strRef>
              <c:f>'Pivot 5'!$BE$3:$BE$4</c:f>
              <c:strCache>
                <c:ptCount val="1"/>
                <c:pt idx="0">
                  <c:v>812</c:v>
                </c:pt>
              </c:strCache>
            </c:strRef>
          </c:tx>
          <c:spPr>
            <a:solidFill>
              <a:schemeClr val="accent2"/>
            </a:solidFill>
            <a:ln>
              <a:noFill/>
            </a:ln>
            <a:effectLst/>
          </c:spPr>
          <c:invertIfNegative val="0"/>
          <c:cat>
            <c:strRef>
              <c:f>'Pivot 5'!$A$5</c:f>
              <c:strCache>
                <c:ptCount val="1"/>
                <c:pt idx="0">
                  <c:v>Total</c:v>
                </c:pt>
              </c:strCache>
            </c:strRef>
          </c:cat>
          <c:val>
            <c:numRef>
              <c:f>'Pivot 5'!$BE$5</c:f>
              <c:numCache>
                <c:formatCode>\₹#,##0</c:formatCode>
                <c:ptCount val="1"/>
                <c:pt idx="0">
                  <c:v>618757</c:v>
                </c:pt>
              </c:numCache>
            </c:numRef>
          </c:val>
          <c:extLst>
            <c:ext xmlns:c16="http://schemas.microsoft.com/office/drawing/2014/chart" uri="{C3380CC4-5D6E-409C-BE32-E72D297353CC}">
              <c16:uniqueId val="{00000039-A5E7-4395-8606-3D0829C56A0C}"/>
            </c:ext>
          </c:extLst>
        </c:ser>
        <c:ser>
          <c:idx val="56"/>
          <c:order val="56"/>
          <c:tx>
            <c:strRef>
              <c:f>'Pivot 5'!$BF$3:$BF$4</c:f>
              <c:strCache>
                <c:ptCount val="1"/>
                <c:pt idx="0">
                  <c:v>814</c:v>
                </c:pt>
              </c:strCache>
            </c:strRef>
          </c:tx>
          <c:spPr>
            <a:solidFill>
              <a:schemeClr val="accent3"/>
            </a:solidFill>
            <a:ln>
              <a:noFill/>
            </a:ln>
            <a:effectLst/>
          </c:spPr>
          <c:invertIfNegative val="0"/>
          <c:cat>
            <c:strRef>
              <c:f>'Pivot 5'!$A$5</c:f>
              <c:strCache>
                <c:ptCount val="1"/>
                <c:pt idx="0">
                  <c:v>Total</c:v>
                </c:pt>
              </c:strCache>
            </c:strRef>
          </c:cat>
          <c:val>
            <c:numRef>
              <c:f>'Pivot 5'!$BF$5</c:f>
              <c:numCache>
                <c:formatCode>\₹#,##0</c:formatCode>
                <c:ptCount val="1"/>
                <c:pt idx="0">
                  <c:v>2160788</c:v>
                </c:pt>
              </c:numCache>
            </c:numRef>
          </c:val>
          <c:extLst>
            <c:ext xmlns:c16="http://schemas.microsoft.com/office/drawing/2014/chart" uri="{C3380CC4-5D6E-409C-BE32-E72D297353CC}">
              <c16:uniqueId val="{0000003A-A5E7-4395-8606-3D0829C56A0C}"/>
            </c:ext>
          </c:extLst>
        </c:ser>
        <c:ser>
          <c:idx val="57"/>
          <c:order val="57"/>
          <c:tx>
            <c:strRef>
              <c:f>'Pivot 5'!$BG$3:$BG$4</c:f>
              <c:strCache>
                <c:ptCount val="1"/>
                <c:pt idx="0">
                  <c:v>816</c:v>
                </c:pt>
              </c:strCache>
            </c:strRef>
          </c:tx>
          <c:spPr>
            <a:solidFill>
              <a:schemeClr val="accent4"/>
            </a:solidFill>
            <a:ln>
              <a:noFill/>
            </a:ln>
            <a:effectLst/>
          </c:spPr>
          <c:invertIfNegative val="0"/>
          <c:cat>
            <c:strRef>
              <c:f>'Pivot 5'!$A$5</c:f>
              <c:strCache>
                <c:ptCount val="1"/>
                <c:pt idx="0">
                  <c:v>Total</c:v>
                </c:pt>
              </c:strCache>
            </c:strRef>
          </c:cat>
          <c:val>
            <c:numRef>
              <c:f>'Pivot 5'!$BG$5</c:f>
              <c:numCache>
                <c:formatCode>\₹#,##0</c:formatCode>
                <c:ptCount val="1"/>
                <c:pt idx="0">
                  <c:v>1705205</c:v>
                </c:pt>
              </c:numCache>
            </c:numRef>
          </c:val>
          <c:extLst>
            <c:ext xmlns:c16="http://schemas.microsoft.com/office/drawing/2014/chart" uri="{C3380CC4-5D6E-409C-BE32-E72D297353CC}">
              <c16:uniqueId val="{0000003B-A5E7-4395-8606-3D0829C56A0C}"/>
            </c:ext>
          </c:extLst>
        </c:ser>
        <c:ser>
          <c:idx val="58"/>
          <c:order val="58"/>
          <c:tx>
            <c:strRef>
              <c:f>'Pivot 5'!$BH$3:$BH$4</c:f>
              <c:strCache>
                <c:ptCount val="1"/>
                <c:pt idx="0">
                  <c:v>821</c:v>
                </c:pt>
              </c:strCache>
            </c:strRef>
          </c:tx>
          <c:spPr>
            <a:solidFill>
              <a:schemeClr val="accent5"/>
            </a:solidFill>
            <a:ln>
              <a:noFill/>
            </a:ln>
            <a:effectLst/>
          </c:spPr>
          <c:invertIfNegative val="0"/>
          <c:cat>
            <c:strRef>
              <c:f>'Pivot 5'!$A$5</c:f>
              <c:strCache>
                <c:ptCount val="1"/>
                <c:pt idx="0">
                  <c:v>Total</c:v>
                </c:pt>
              </c:strCache>
            </c:strRef>
          </c:cat>
          <c:val>
            <c:numRef>
              <c:f>'Pivot 5'!$BH$5</c:f>
              <c:numCache>
                <c:formatCode>\₹#,##0</c:formatCode>
                <c:ptCount val="1"/>
                <c:pt idx="0">
                  <c:v>3496987</c:v>
                </c:pt>
              </c:numCache>
            </c:numRef>
          </c:val>
          <c:extLst>
            <c:ext xmlns:c16="http://schemas.microsoft.com/office/drawing/2014/chart" uri="{C3380CC4-5D6E-409C-BE32-E72D297353CC}">
              <c16:uniqueId val="{0000003C-A5E7-4395-8606-3D0829C56A0C}"/>
            </c:ext>
          </c:extLst>
        </c:ser>
        <c:ser>
          <c:idx val="59"/>
          <c:order val="59"/>
          <c:tx>
            <c:strRef>
              <c:f>'Pivot 5'!$BI$3:$BI$4</c:f>
              <c:strCache>
                <c:ptCount val="1"/>
                <c:pt idx="0">
                  <c:v>822</c:v>
                </c:pt>
              </c:strCache>
            </c:strRef>
          </c:tx>
          <c:spPr>
            <a:solidFill>
              <a:schemeClr val="accent6"/>
            </a:solidFill>
            <a:ln>
              <a:noFill/>
            </a:ln>
            <a:effectLst/>
          </c:spPr>
          <c:invertIfNegative val="0"/>
          <c:cat>
            <c:strRef>
              <c:f>'Pivot 5'!$A$5</c:f>
              <c:strCache>
                <c:ptCount val="1"/>
                <c:pt idx="0">
                  <c:v>Total</c:v>
                </c:pt>
              </c:strCache>
            </c:strRef>
          </c:cat>
          <c:val>
            <c:numRef>
              <c:f>'Pivot 5'!$BI$5</c:f>
              <c:numCache>
                <c:formatCode>\₹#,##0</c:formatCode>
                <c:ptCount val="1"/>
                <c:pt idx="0">
                  <c:v>224436</c:v>
                </c:pt>
              </c:numCache>
            </c:numRef>
          </c:val>
          <c:extLst>
            <c:ext xmlns:c16="http://schemas.microsoft.com/office/drawing/2014/chart" uri="{C3380CC4-5D6E-409C-BE32-E72D297353CC}">
              <c16:uniqueId val="{0000003D-A5E7-4395-8606-3D0829C56A0C}"/>
            </c:ext>
          </c:extLst>
        </c:ser>
        <c:ser>
          <c:idx val="60"/>
          <c:order val="60"/>
          <c:tx>
            <c:strRef>
              <c:f>'Pivot 5'!$BJ$3:$BJ$4</c:f>
              <c:strCache>
                <c:ptCount val="1"/>
                <c:pt idx="0">
                  <c:v>825</c:v>
                </c:pt>
              </c:strCache>
            </c:strRef>
          </c:tx>
          <c:spPr>
            <a:solidFill>
              <a:schemeClr val="accent1">
                <a:lumMod val="60000"/>
              </a:schemeClr>
            </a:solidFill>
            <a:ln>
              <a:noFill/>
            </a:ln>
            <a:effectLst/>
          </c:spPr>
          <c:invertIfNegative val="0"/>
          <c:cat>
            <c:strRef>
              <c:f>'Pivot 5'!$A$5</c:f>
              <c:strCache>
                <c:ptCount val="1"/>
                <c:pt idx="0">
                  <c:v>Total</c:v>
                </c:pt>
              </c:strCache>
            </c:strRef>
          </c:cat>
          <c:val>
            <c:numRef>
              <c:f>'Pivot 5'!$BJ$5</c:f>
              <c:numCache>
                <c:formatCode>\₹#,##0</c:formatCode>
                <c:ptCount val="1"/>
                <c:pt idx="0">
                  <c:v>6603243</c:v>
                </c:pt>
              </c:numCache>
            </c:numRef>
          </c:val>
          <c:extLst>
            <c:ext xmlns:c16="http://schemas.microsoft.com/office/drawing/2014/chart" uri="{C3380CC4-5D6E-409C-BE32-E72D297353CC}">
              <c16:uniqueId val="{0000003E-A5E7-4395-8606-3D0829C56A0C}"/>
            </c:ext>
          </c:extLst>
        </c:ser>
        <c:ser>
          <c:idx val="61"/>
          <c:order val="61"/>
          <c:tx>
            <c:strRef>
              <c:f>'Pivot 5'!$BK$3:$BK$4</c:f>
              <c:strCache>
                <c:ptCount val="1"/>
                <c:pt idx="0">
                  <c:v>827</c:v>
                </c:pt>
              </c:strCache>
            </c:strRef>
          </c:tx>
          <c:spPr>
            <a:solidFill>
              <a:schemeClr val="accent2">
                <a:lumMod val="60000"/>
              </a:schemeClr>
            </a:solidFill>
            <a:ln>
              <a:noFill/>
            </a:ln>
            <a:effectLst/>
          </c:spPr>
          <c:invertIfNegative val="0"/>
          <c:cat>
            <c:strRef>
              <c:f>'Pivot 5'!$A$5</c:f>
              <c:strCache>
                <c:ptCount val="1"/>
                <c:pt idx="0">
                  <c:v>Total</c:v>
                </c:pt>
              </c:strCache>
            </c:strRef>
          </c:cat>
          <c:val>
            <c:numRef>
              <c:f>'Pivot 5'!$BK$5</c:f>
              <c:numCache>
                <c:formatCode>\₹#,##0</c:formatCode>
                <c:ptCount val="1"/>
                <c:pt idx="0">
                  <c:v>5031100</c:v>
                </c:pt>
              </c:numCache>
            </c:numRef>
          </c:val>
          <c:extLst>
            <c:ext xmlns:c16="http://schemas.microsoft.com/office/drawing/2014/chart" uri="{C3380CC4-5D6E-409C-BE32-E72D297353CC}">
              <c16:uniqueId val="{0000003F-A5E7-4395-8606-3D0829C56A0C}"/>
            </c:ext>
          </c:extLst>
        </c:ser>
        <c:ser>
          <c:idx val="62"/>
          <c:order val="62"/>
          <c:tx>
            <c:strRef>
              <c:f>'Pivot 5'!$BL$3:$BL$4</c:f>
              <c:strCache>
                <c:ptCount val="1"/>
                <c:pt idx="0">
                  <c:v>829</c:v>
                </c:pt>
              </c:strCache>
            </c:strRef>
          </c:tx>
          <c:spPr>
            <a:solidFill>
              <a:schemeClr val="accent3">
                <a:lumMod val="60000"/>
              </a:schemeClr>
            </a:solidFill>
            <a:ln>
              <a:noFill/>
            </a:ln>
            <a:effectLst/>
          </c:spPr>
          <c:invertIfNegative val="0"/>
          <c:cat>
            <c:strRef>
              <c:f>'Pivot 5'!$A$5</c:f>
              <c:strCache>
                <c:ptCount val="1"/>
                <c:pt idx="0">
                  <c:v>Total</c:v>
                </c:pt>
              </c:strCache>
            </c:strRef>
          </c:cat>
          <c:val>
            <c:numRef>
              <c:f>'Pivot 5'!$BL$5</c:f>
              <c:numCache>
                <c:formatCode>\₹#,##0</c:formatCode>
                <c:ptCount val="1"/>
                <c:pt idx="0">
                  <c:v>7507463</c:v>
                </c:pt>
              </c:numCache>
            </c:numRef>
          </c:val>
          <c:extLst>
            <c:ext xmlns:c16="http://schemas.microsoft.com/office/drawing/2014/chart" uri="{C3380CC4-5D6E-409C-BE32-E72D297353CC}">
              <c16:uniqueId val="{00000040-A5E7-4395-8606-3D0829C56A0C}"/>
            </c:ext>
          </c:extLst>
        </c:ser>
        <c:ser>
          <c:idx val="63"/>
          <c:order val="63"/>
          <c:tx>
            <c:strRef>
              <c:f>'Pivot 5'!$BM$3:$BM$4</c:f>
              <c:strCache>
                <c:ptCount val="1"/>
                <c:pt idx="0">
                  <c:v>830</c:v>
                </c:pt>
              </c:strCache>
            </c:strRef>
          </c:tx>
          <c:spPr>
            <a:solidFill>
              <a:schemeClr val="accent4">
                <a:lumMod val="60000"/>
              </a:schemeClr>
            </a:solidFill>
            <a:ln>
              <a:noFill/>
            </a:ln>
            <a:effectLst/>
          </c:spPr>
          <c:invertIfNegative val="0"/>
          <c:cat>
            <c:strRef>
              <c:f>'Pivot 5'!$A$5</c:f>
              <c:strCache>
                <c:ptCount val="1"/>
                <c:pt idx="0">
                  <c:v>Total</c:v>
                </c:pt>
              </c:strCache>
            </c:strRef>
          </c:cat>
          <c:val>
            <c:numRef>
              <c:f>'Pivot 5'!$BM$5</c:f>
              <c:numCache>
                <c:formatCode>\₹#,##0</c:formatCode>
                <c:ptCount val="1"/>
                <c:pt idx="0">
                  <c:v>7190281</c:v>
                </c:pt>
              </c:numCache>
            </c:numRef>
          </c:val>
          <c:extLst>
            <c:ext xmlns:c16="http://schemas.microsoft.com/office/drawing/2014/chart" uri="{C3380CC4-5D6E-409C-BE32-E72D297353CC}">
              <c16:uniqueId val="{00000041-A5E7-4395-8606-3D0829C56A0C}"/>
            </c:ext>
          </c:extLst>
        </c:ser>
        <c:ser>
          <c:idx val="64"/>
          <c:order val="64"/>
          <c:tx>
            <c:strRef>
              <c:f>'Pivot 5'!$BN$3:$BN$4</c:f>
              <c:strCache>
                <c:ptCount val="1"/>
                <c:pt idx="0">
                  <c:v>838</c:v>
                </c:pt>
              </c:strCache>
            </c:strRef>
          </c:tx>
          <c:spPr>
            <a:solidFill>
              <a:schemeClr val="accent5">
                <a:lumMod val="60000"/>
              </a:schemeClr>
            </a:solidFill>
            <a:ln>
              <a:noFill/>
            </a:ln>
            <a:effectLst/>
          </c:spPr>
          <c:invertIfNegative val="0"/>
          <c:cat>
            <c:strRef>
              <c:f>'Pivot 5'!$A$5</c:f>
              <c:strCache>
                <c:ptCount val="1"/>
                <c:pt idx="0">
                  <c:v>Total</c:v>
                </c:pt>
              </c:strCache>
            </c:strRef>
          </c:cat>
          <c:val>
            <c:numRef>
              <c:f>'Pivot 5'!$BN$5</c:f>
              <c:numCache>
                <c:formatCode>\₹#,##0</c:formatCode>
                <c:ptCount val="1"/>
                <c:pt idx="0">
                  <c:v>417548</c:v>
                </c:pt>
              </c:numCache>
            </c:numRef>
          </c:val>
          <c:extLst>
            <c:ext xmlns:c16="http://schemas.microsoft.com/office/drawing/2014/chart" uri="{C3380CC4-5D6E-409C-BE32-E72D297353CC}">
              <c16:uniqueId val="{00000042-A5E7-4395-8606-3D0829C56A0C}"/>
            </c:ext>
          </c:extLst>
        </c:ser>
        <c:ser>
          <c:idx val="65"/>
          <c:order val="65"/>
          <c:tx>
            <c:strRef>
              <c:f>'Pivot 5'!$BO$3:$BO$4</c:f>
              <c:strCache>
                <c:ptCount val="1"/>
                <c:pt idx="0">
                  <c:v>839</c:v>
                </c:pt>
              </c:strCache>
            </c:strRef>
          </c:tx>
          <c:spPr>
            <a:solidFill>
              <a:schemeClr val="accent6">
                <a:lumMod val="60000"/>
              </a:schemeClr>
            </a:solidFill>
            <a:ln>
              <a:noFill/>
            </a:ln>
            <a:effectLst/>
          </c:spPr>
          <c:invertIfNegative val="0"/>
          <c:cat>
            <c:strRef>
              <c:f>'Pivot 5'!$A$5</c:f>
              <c:strCache>
                <c:ptCount val="1"/>
                <c:pt idx="0">
                  <c:v>Total</c:v>
                </c:pt>
              </c:strCache>
            </c:strRef>
          </c:cat>
          <c:val>
            <c:numRef>
              <c:f>'Pivot 5'!$BO$5</c:f>
              <c:numCache>
                <c:formatCode>\₹#,##0</c:formatCode>
                <c:ptCount val="1"/>
                <c:pt idx="0">
                  <c:v>377761</c:v>
                </c:pt>
              </c:numCache>
            </c:numRef>
          </c:val>
          <c:extLst>
            <c:ext xmlns:c16="http://schemas.microsoft.com/office/drawing/2014/chart" uri="{C3380CC4-5D6E-409C-BE32-E72D297353CC}">
              <c16:uniqueId val="{00000043-A5E7-4395-8606-3D0829C56A0C}"/>
            </c:ext>
          </c:extLst>
        </c:ser>
        <c:ser>
          <c:idx val="66"/>
          <c:order val="66"/>
          <c:tx>
            <c:strRef>
              <c:f>'Pivot 5'!$BP$3:$BP$4</c:f>
              <c:strCache>
                <c:ptCount val="1"/>
                <c:pt idx="0">
                  <c:v>844</c:v>
                </c:pt>
              </c:strCache>
            </c:strRef>
          </c:tx>
          <c:spPr>
            <a:solidFill>
              <a:schemeClr val="accent1">
                <a:lumMod val="80000"/>
                <a:lumOff val="20000"/>
              </a:schemeClr>
            </a:solidFill>
            <a:ln>
              <a:noFill/>
            </a:ln>
            <a:effectLst/>
          </c:spPr>
          <c:invertIfNegative val="0"/>
          <c:cat>
            <c:strRef>
              <c:f>'Pivot 5'!$A$5</c:f>
              <c:strCache>
                <c:ptCount val="1"/>
                <c:pt idx="0">
                  <c:v>Total</c:v>
                </c:pt>
              </c:strCache>
            </c:strRef>
          </c:cat>
          <c:val>
            <c:numRef>
              <c:f>'Pivot 5'!$BP$5</c:f>
              <c:numCache>
                <c:formatCode>\₹#,##0</c:formatCode>
                <c:ptCount val="1"/>
                <c:pt idx="0">
                  <c:v>2353869</c:v>
                </c:pt>
              </c:numCache>
            </c:numRef>
          </c:val>
          <c:extLst>
            <c:ext xmlns:c16="http://schemas.microsoft.com/office/drawing/2014/chart" uri="{C3380CC4-5D6E-409C-BE32-E72D297353CC}">
              <c16:uniqueId val="{00000044-A5E7-4395-8606-3D0829C56A0C}"/>
            </c:ext>
          </c:extLst>
        </c:ser>
        <c:ser>
          <c:idx val="67"/>
          <c:order val="67"/>
          <c:tx>
            <c:strRef>
              <c:f>'Pivot 5'!$BQ$3:$BQ$4</c:f>
              <c:strCache>
                <c:ptCount val="1"/>
                <c:pt idx="0">
                  <c:v>848</c:v>
                </c:pt>
              </c:strCache>
            </c:strRef>
          </c:tx>
          <c:spPr>
            <a:solidFill>
              <a:schemeClr val="accent2">
                <a:lumMod val="80000"/>
                <a:lumOff val="20000"/>
              </a:schemeClr>
            </a:solidFill>
            <a:ln>
              <a:noFill/>
            </a:ln>
            <a:effectLst/>
          </c:spPr>
          <c:invertIfNegative val="0"/>
          <c:cat>
            <c:strRef>
              <c:f>'Pivot 5'!$A$5</c:f>
              <c:strCache>
                <c:ptCount val="1"/>
                <c:pt idx="0">
                  <c:v>Total</c:v>
                </c:pt>
              </c:strCache>
            </c:strRef>
          </c:cat>
          <c:val>
            <c:numRef>
              <c:f>'Pivot 5'!$BQ$5</c:f>
              <c:numCache>
                <c:formatCode>\₹#,##0</c:formatCode>
                <c:ptCount val="1"/>
                <c:pt idx="0">
                  <c:v>598021</c:v>
                </c:pt>
              </c:numCache>
            </c:numRef>
          </c:val>
          <c:extLst>
            <c:ext xmlns:c16="http://schemas.microsoft.com/office/drawing/2014/chart" uri="{C3380CC4-5D6E-409C-BE32-E72D297353CC}">
              <c16:uniqueId val="{00000045-A5E7-4395-8606-3D0829C56A0C}"/>
            </c:ext>
          </c:extLst>
        </c:ser>
        <c:ser>
          <c:idx val="68"/>
          <c:order val="68"/>
          <c:tx>
            <c:strRef>
              <c:f>'Pivot 5'!$BR$3:$BR$4</c:f>
              <c:strCache>
                <c:ptCount val="1"/>
                <c:pt idx="0">
                  <c:v>852</c:v>
                </c:pt>
              </c:strCache>
            </c:strRef>
          </c:tx>
          <c:spPr>
            <a:solidFill>
              <a:schemeClr val="accent3">
                <a:lumMod val="80000"/>
                <a:lumOff val="20000"/>
              </a:schemeClr>
            </a:solidFill>
            <a:ln>
              <a:noFill/>
            </a:ln>
            <a:effectLst/>
          </c:spPr>
          <c:invertIfNegative val="0"/>
          <c:cat>
            <c:strRef>
              <c:f>'Pivot 5'!$A$5</c:f>
              <c:strCache>
                <c:ptCount val="1"/>
                <c:pt idx="0">
                  <c:v>Total</c:v>
                </c:pt>
              </c:strCache>
            </c:strRef>
          </c:cat>
          <c:val>
            <c:numRef>
              <c:f>'Pivot 5'!$BR$5</c:f>
              <c:numCache>
                <c:formatCode>\₹#,##0</c:formatCode>
                <c:ptCount val="1"/>
                <c:pt idx="0">
                  <c:v>1481317</c:v>
                </c:pt>
              </c:numCache>
            </c:numRef>
          </c:val>
          <c:extLst>
            <c:ext xmlns:c16="http://schemas.microsoft.com/office/drawing/2014/chart" uri="{C3380CC4-5D6E-409C-BE32-E72D297353CC}">
              <c16:uniqueId val="{00000046-A5E7-4395-8606-3D0829C56A0C}"/>
            </c:ext>
          </c:extLst>
        </c:ser>
        <c:ser>
          <c:idx val="69"/>
          <c:order val="69"/>
          <c:tx>
            <c:strRef>
              <c:f>'Pivot 5'!$BS$3:$BS$4</c:f>
              <c:strCache>
                <c:ptCount val="1"/>
                <c:pt idx="0">
                  <c:v>856</c:v>
                </c:pt>
              </c:strCache>
            </c:strRef>
          </c:tx>
          <c:spPr>
            <a:solidFill>
              <a:schemeClr val="accent4">
                <a:lumMod val="80000"/>
                <a:lumOff val="20000"/>
              </a:schemeClr>
            </a:solidFill>
            <a:ln>
              <a:noFill/>
            </a:ln>
            <a:effectLst/>
          </c:spPr>
          <c:invertIfNegative val="0"/>
          <c:cat>
            <c:strRef>
              <c:f>'Pivot 5'!$A$5</c:f>
              <c:strCache>
                <c:ptCount val="1"/>
                <c:pt idx="0">
                  <c:v>Total</c:v>
                </c:pt>
              </c:strCache>
            </c:strRef>
          </c:cat>
          <c:val>
            <c:numRef>
              <c:f>'Pivot 5'!$BS$5</c:f>
              <c:numCache>
                <c:formatCode>\₹#,##0</c:formatCode>
                <c:ptCount val="1"/>
                <c:pt idx="0">
                  <c:v>4012017</c:v>
                </c:pt>
              </c:numCache>
            </c:numRef>
          </c:val>
          <c:extLst>
            <c:ext xmlns:c16="http://schemas.microsoft.com/office/drawing/2014/chart" uri="{C3380CC4-5D6E-409C-BE32-E72D297353CC}">
              <c16:uniqueId val="{00000047-A5E7-4395-8606-3D0829C56A0C}"/>
            </c:ext>
          </c:extLst>
        </c:ser>
        <c:ser>
          <c:idx val="70"/>
          <c:order val="70"/>
          <c:tx>
            <c:strRef>
              <c:f>'Pivot 5'!$BT$3:$BT$4</c:f>
              <c:strCache>
                <c:ptCount val="1"/>
                <c:pt idx="0">
                  <c:v>863</c:v>
                </c:pt>
              </c:strCache>
            </c:strRef>
          </c:tx>
          <c:spPr>
            <a:solidFill>
              <a:schemeClr val="accent5">
                <a:lumMod val="80000"/>
                <a:lumOff val="20000"/>
              </a:schemeClr>
            </a:solidFill>
            <a:ln>
              <a:noFill/>
            </a:ln>
            <a:effectLst/>
          </c:spPr>
          <c:invertIfNegative val="0"/>
          <c:cat>
            <c:strRef>
              <c:f>'Pivot 5'!$A$5</c:f>
              <c:strCache>
                <c:ptCount val="1"/>
                <c:pt idx="0">
                  <c:v>Total</c:v>
                </c:pt>
              </c:strCache>
            </c:strRef>
          </c:cat>
          <c:val>
            <c:numRef>
              <c:f>'Pivot 5'!$BT$5</c:f>
              <c:numCache>
                <c:formatCode>\₹#,##0</c:formatCode>
                <c:ptCount val="1"/>
                <c:pt idx="0">
                  <c:v>645373</c:v>
                </c:pt>
              </c:numCache>
            </c:numRef>
          </c:val>
          <c:extLst>
            <c:ext xmlns:c16="http://schemas.microsoft.com/office/drawing/2014/chart" uri="{C3380CC4-5D6E-409C-BE32-E72D297353CC}">
              <c16:uniqueId val="{00000048-A5E7-4395-8606-3D0829C56A0C}"/>
            </c:ext>
          </c:extLst>
        </c:ser>
        <c:ser>
          <c:idx val="71"/>
          <c:order val="71"/>
          <c:tx>
            <c:strRef>
              <c:f>'Pivot 5'!$BU$3:$BU$4</c:f>
              <c:strCache>
                <c:ptCount val="1"/>
                <c:pt idx="0">
                  <c:v>864</c:v>
                </c:pt>
              </c:strCache>
            </c:strRef>
          </c:tx>
          <c:spPr>
            <a:solidFill>
              <a:schemeClr val="accent6">
                <a:lumMod val="80000"/>
                <a:lumOff val="20000"/>
              </a:schemeClr>
            </a:solidFill>
            <a:ln>
              <a:noFill/>
            </a:ln>
            <a:effectLst/>
          </c:spPr>
          <c:invertIfNegative val="0"/>
          <c:cat>
            <c:strRef>
              <c:f>'Pivot 5'!$A$5</c:f>
              <c:strCache>
                <c:ptCount val="1"/>
                <c:pt idx="0">
                  <c:v>Total</c:v>
                </c:pt>
              </c:strCache>
            </c:strRef>
          </c:cat>
          <c:val>
            <c:numRef>
              <c:f>'Pivot 5'!$BU$5</c:f>
              <c:numCache>
                <c:formatCode>\₹#,##0</c:formatCode>
                <c:ptCount val="1"/>
                <c:pt idx="0">
                  <c:v>1601068</c:v>
                </c:pt>
              </c:numCache>
            </c:numRef>
          </c:val>
          <c:extLst>
            <c:ext xmlns:c16="http://schemas.microsoft.com/office/drawing/2014/chart" uri="{C3380CC4-5D6E-409C-BE32-E72D297353CC}">
              <c16:uniqueId val="{00000049-A5E7-4395-8606-3D0829C56A0C}"/>
            </c:ext>
          </c:extLst>
        </c:ser>
        <c:ser>
          <c:idx val="72"/>
          <c:order val="72"/>
          <c:tx>
            <c:strRef>
              <c:f>'Pivot 5'!$BV$3:$BV$4</c:f>
              <c:strCache>
                <c:ptCount val="1"/>
                <c:pt idx="0">
                  <c:v>866</c:v>
                </c:pt>
              </c:strCache>
            </c:strRef>
          </c:tx>
          <c:spPr>
            <a:solidFill>
              <a:schemeClr val="accent1">
                <a:lumMod val="80000"/>
              </a:schemeClr>
            </a:solidFill>
            <a:ln>
              <a:noFill/>
            </a:ln>
            <a:effectLst/>
          </c:spPr>
          <c:invertIfNegative val="0"/>
          <c:cat>
            <c:strRef>
              <c:f>'Pivot 5'!$A$5</c:f>
              <c:strCache>
                <c:ptCount val="1"/>
                <c:pt idx="0">
                  <c:v>Total</c:v>
                </c:pt>
              </c:strCache>
            </c:strRef>
          </c:cat>
          <c:val>
            <c:numRef>
              <c:f>'Pivot 5'!$BV$5</c:f>
              <c:numCache>
                <c:formatCode>\₹#,##0</c:formatCode>
                <c:ptCount val="1"/>
                <c:pt idx="0">
                  <c:v>1028488</c:v>
                </c:pt>
              </c:numCache>
            </c:numRef>
          </c:val>
          <c:extLst>
            <c:ext xmlns:c16="http://schemas.microsoft.com/office/drawing/2014/chart" uri="{C3380CC4-5D6E-409C-BE32-E72D297353CC}">
              <c16:uniqueId val="{0000004A-A5E7-4395-8606-3D0829C56A0C}"/>
            </c:ext>
          </c:extLst>
        </c:ser>
        <c:ser>
          <c:idx val="73"/>
          <c:order val="73"/>
          <c:tx>
            <c:strRef>
              <c:f>'Pivot 5'!$BW$3:$BW$4</c:f>
              <c:strCache>
                <c:ptCount val="1"/>
                <c:pt idx="0">
                  <c:v>869</c:v>
                </c:pt>
              </c:strCache>
            </c:strRef>
          </c:tx>
          <c:spPr>
            <a:solidFill>
              <a:schemeClr val="accent2">
                <a:lumMod val="80000"/>
              </a:schemeClr>
            </a:solidFill>
            <a:ln>
              <a:noFill/>
            </a:ln>
            <a:effectLst/>
          </c:spPr>
          <c:invertIfNegative val="0"/>
          <c:cat>
            <c:strRef>
              <c:f>'Pivot 5'!$A$5</c:f>
              <c:strCache>
                <c:ptCount val="1"/>
                <c:pt idx="0">
                  <c:v>Total</c:v>
                </c:pt>
              </c:strCache>
            </c:strRef>
          </c:cat>
          <c:val>
            <c:numRef>
              <c:f>'Pivot 5'!$BW$5</c:f>
              <c:numCache>
                <c:formatCode>\₹#,##0</c:formatCode>
                <c:ptCount val="1"/>
                <c:pt idx="0">
                  <c:v>4561779</c:v>
                </c:pt>
              </c:numCache>
            </c:numRef>
          </c:val>
          <c:extLst>
            <c:ext xmlns:c16="http://schemas.microsoft.com/office/drawing/2014/chart" uri="{C3380CC4-5D6E-409C-BE32-E72D297353CC}">
              <c16:uniqueId val="{0000004B-A5E7-4395-8606-3D0829C56A0C}"/>
            </c:ext>
          </c:extLst>
        </c:ser>
        <c:ser>
          <c:idx val="74"/>
          <c:order val="74"/>
          <c:tx>
            <c:strRef>
              <c:f>'Pivot 5'!$BX$3:$BX$4</c:f>
              <c:strCache>
                <c:ptCount val="1"/>
                <c:pt idx="0">
                  <c:v>875</c:v>
                </c:pt>
              </c:strCache>
            </c:strRef>
          </c:tx>
          <c:spPr>
            <a:solidFill>
              <a:schemeClr val="accent3">
                <a:lumMod val="80000"/>
              </a:schemeClr>
            </a:solidFill>
            <a:ln>
              <a:noFill/>
            </a:ln>
            <a:effectLst/>
          </c:spPr>
          <c:invertIfNegative val="0"/>
          <c:cat>
            <c:strRef>
              <c:f>'Pivot 5'!$A$5</c:f>
              <c:strCache>
                <c:ptCount val="1"/>
                <c:pt idx="0">
                  <c:v>Total</c:v>
                </c:pt>
              </c:strCache>
            </c:strRef>
          </c:cat>
          <c:val>
            <c:numRef>
              <c:f>'Pivot 5'!$BX$5</c:f>
              <c:numCache>
                <c:formatCode>\₹#,##0</c:formatCode>
                <c:ptCount val="1"/>
                <c:pt idx="0">
                  <c:v>7873335</c:v>
                </c:pt>
              </c:numCache>
            </c:numRef>
          </c:val>
          <c:extLst>
            <c:ext xmlns:c16="http://schemas.microsoft.com/office/drawing/2014/chart" uri="{C3380CC4-5D6E-409C-BE32-E72D297353CC}">
              <c16:uniqueId val="{0000004C-A5E7-4395-8606-3D0829C56A0C}"/>
            </c:ext>
          </c:extLst>
        </c:ser>
        <c:ser>
          <c:idx val="75"/>
          <c:order val="75"/>
          <c:tx>
            <c:strRef>
              <c:f>'Pivot 5'!$BY$3:$BY$4</c:f>
              <c:strCache>
                <c:ptCount val="1"/>
                <c:pt idx="0">
                  <c:v>881</c:v>
                </c:pt>
              </c:strCache>
            </c:strRef>
          </c:tx>
          <c:spPr>
            <a:solidFill>
              <a:schemeClr val="accent4">
                <a:lumMod val="80000"/>
              </a:schemeClr>
            </a:solidFill>
            <a:ln>
              <a:noFill/>
            </a:ln>
            <a:effectLst/>
          </c:spPr>
          <c:invertIfNegative val="0"/>
          <c:cat>
            <c:strRef>
              <c:f>'Pivot 5'!$A$5</c:f>
              <c:strCache>
                <c:ptCount val="1"/>
                <c:pt idx="0">
                  <c:v>Total</c:v>
                </c:pt>
              </c:strCache>
            </c:strRef>
          </c:cat>
          <c:val>
            <c:numRef>
              <c:f>'Pivot 5'!$BY$5</c:f>
              <c:numCache>
                <c:formatCode>\₹#,##0</c:formatCode>
                <c:ptCount val="1"/>
                <c:pt idx="0">
                  <c:v>9408225</c:v>
                </c:pt>
              </c:numCache>
            </c:numRef>
          </c:val>
          <c:extLst>
            <c:ext xmlns:c16="http://schemas.microsoft.com/office/drawing/2014/chart" uri="{C3380CC4-5D6E-409C-BE32-E72D297353CC}">
              <c16:uniqueId val="{0000004D-A5E7-4395-8606-3D0829C56A0C}"/>
            </c:ext>
          </c:extLst>
        </c:ser>
        <c:ser>
          <c:idx val="76"/>
          <c:order val="76"/>
          <c:tx>
            <c:strRef>
              <c:f>'Pivot 5'!$BZ$3:$BZ$4</c:f>
              <c:strCache>
                <c:ptCount val="1"/>
                <c:pt idx="0">
                  <c:v>883</c:v>
                </c:pt>
              </c:strCache>
            </c:strRef>
          </c:tx>
          <c:spPr>
            <a:solidFill>
              <a:schemeClr val="accent5">
                <a:lumMod val="80000"/>
              </a:schemeClr>
            </a:solidFill>
            <a:ln>
              <a:noFill/>
            </a:ln>
            <a:effectLst/>
          </c:spPr>
          <c:invertIfNegative val="0"/>
          <c:cat>
            <c:strRef>
              <c:f>'Pivot 5'!$A$5</c:f>
              <c:strCache>
                <c:ptCount val="1"/>
                <c:pt idx="0">
                  <c:v>Total</c:v>
                </c:pt>
              </c:strCache>
            </c:strRef>
          </c:cat>
          <c:val>
            <c:numRef>
              <c:f>'Pivot 5'!$BZ$5</c:f>
              <c:numCache>
                <c:formatCode>\₹#,##0</c:formatCode>
                <c:ptCount val="1"/>
                <c:pt idx="0">
                  <c:v>2338881</c:v>
                </c:pt>
              </c:numCache>
            </c:numRef>
          </c:val>
          <c:extLst>
            <c:ext xmlns:c16="http://schemas.microsoft.com/office/drawing/2014/chart" uri="{C3380CC4-5D6E-409C-BE32-E72D297353CC}">
              <c16:uniqueId val="{0000004E-A5E7-4395-8606-3D0829C56A0C}"/>
            </c:ext>
          </c:extLst>
        </c:ser>
        <c:ser>
          <c:idx val="77"/>
          <c:order val="77"/>
          <c:tx>
            <c:strRef>
              <c:f>'Pivot 5'!$CA$3:$CA$4</c:f>
              <c:strCache>
                <c:ptCount val="1"/>
                <c:pt idx="0">
                  <c:v>890</c:v>
                </c:pt>
              </c:strCache>
            </c:strRef>
          </c:tx>
          <c:spPr>
            <a:solidFill>
              <a:schemeClr val="accent6">
                <a:lumMod val="80000"/>
              </a:schemeClr>
            </a:solidFill>
            <a:ln>
              <a:noFill/>
            </a:ln>
            <a:effectLst/>
          </c:spPr>
          <c:invertIfNegative val="0"/>
          <c:cat>
            <c:strRef>
              <c:f>'Pivot 5'!$A$5</c:f>
              <c:strCache>
                <c:ptCount val="1"/>
                <c:pt idx="0">
                  <c:v>Total</c:v>
                </c:pt>
              </c:strCache>
            </c:strRef>
          </c:cat>
          <c:val>
            <c:numRef>
              <c:f>'Pivot 5'!$CA$5</c:f>
              <c:numCache>
                <c:formatCode>\₹#,##0</c:formatCode>
                <c:ptCount val="1"/>
                <c:pt idx="0">
                  <c:v>3557668</c:v>
                </c:pt>
              </c:numCache>
            </c:numRef>
          </c:val>
          <c:extLst>
            <c:ext xmlns:c16="http://schemas.microsoft.com/office/drawing/2014/chart" uri="{C3380CC4-5D6E-409C-BE32-E72D297353CC}">
              <c16:uniqueId val="{0000004F-A5E7-4395-8606-3D0829C56A0C}"/>
            </c:ext>
          </c:extLst>
        </c:ser>
        <c:ser>
          <c:idx val="78"/>
          <c:order val="78"/>
          <c:tx>
            <c:strRef>
              <c:f>'Pivot 5'!$CB$3:$CB$4</c:f>
              <c:strCache>
                <c:ptCount val="1"/>
                <c:pt idx="0">
                  <c:v>892</c:v>
                </c:pt>
              </c:strCache>
            </c:strRef>
          </c:tx>
          <c:spPr>
            <a:solidFill>
              <a:schemeClr val="accent1">
                <a:lumMod val="60000"/>
                <a:lumOff val="40000"/>
              </a:schemeClr>
            </a:solidFill>
            <a:ln>
              <a:noFill/>
            </a:ln>
            <a:effectLst/>
          </c:spPr>
          <c:invertIfNegative val="0"/>
          <c:cat>
            <c:strRef>
              <c:f>'Pivot 5'!$A$5</c:f>
              <c:strCache>
                <c:ptCount val="1"/>
                <c:pt idx="0">
                  <c:v>Total</c:v>
                </c:pt>
              </c:strCache>
            </c:strRef>
          </c:cat>
          <c:val>
            <c:numRef>
              <c:f>'Pivot 5'!$CB$5</c:f>
              <c:numCache>
                <c:formatCode>\₹#,##0</c:formatCode>
                <c:ptCount val="1"/>
                <c:pt idx="0">
                  <c:v>214749</c:v>
                </c:pt>
              </c:numCache>
            </c:numRef>
          </c:val>
          <c:extLst>
            <c:ext xmlns:c16="http://schemas.microsoft.com/office/drawing/2014/chart" uri="{C3380CC4-5D6E-409C-BE32-E72D297353CC}">
              <c16:uniqueId val="{00000050-A5E7-4395-8606-3D0829C56A0C}"/>
            </c:ext>
          </c:extLst>
        </c:ser>
        <c:ser>
          <c:idx val="79"/>
          <c:order val="79"/>
          <c:tx>
            <c:strRef>
              <c:f>'Pivot 5'!$CC$3:$CC$4</c:f>
              <c:strCache>
                <c:ptCount val="1"/>
                <c:pt idx="0">
                  <c:v>895</c:v>
                </c:pt>
              </c:strCache>
            </c:strRef>
          </c:tx>
          <c:spPr>
            <a:solidFill>
              <a:schemeClr val="accent2">
                <a:lumMod val="60000"/>
                <a:lumOff val="40000"/>
              </a:schemeClr>
            </a:solidFill>
            <a:ln>
              <a:noFill/>
            </a:ln>
            <a:effectLst/>
          </c:spPr>
          <c:invertIfNegative val="0"/>
          <c:cat>
            <c:strRef>
              <c:f>'Pivot 5'!$A$5</c:f>
              <c:strCache>
                <c:ptCount val="1"/>
                <c:pt idx="0">
                  <c:v>Total</c:v>
                </c:pt>
              </c:strCache>
            </c:strRef>
          </c:cat>
          <c:val>
            <c:numRef>
              <c:f>'Pivot 5'!$CC$5</c:f>
              <c:numCache>
                <c:formatCode>\₹#,##0</c:formatCode>
                <c:ptCount val="1"/>
                <c:pt idx="0">
                  <c:v>2159959</c:v>
                </c:pt>
              </c:numCache>
            </c:numRef>
          </c:val>
          <c:extLst>
            <c:ext xmlns:c16="http://schemas.microsoft.com/office/drawing/2014/chart" uri="{C3380CC4-5D6E-409C-BE32-E72D297353CC}">
              <c16:uniqueId val="{00000051-A5E7-4395-8606-3D0829C56A0C}"/>
            </c:ext>
          </c:extLst>
        </c:ser>
        <c:dLbls>
          <c:showLegendKey val="0"/>
          <c:showVal val="0"/>
          <c:showCatName val="0"/>
          <c:showSerName val="0"/>
          <c:showPercent val="0"/>
          <c:showBubbleSize val="0"/>
        </c:dLbls>
        <c:gapWidth val="219"/>
        <c:overlap val="-27"/>
        <c:axId val="72820992"/>
        <c:axId val="72823392"/>
      </c:barChart>
      <c:catAx>
        <c:axId val="7282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3392"/>
        <c:crosses val="autoZero"/>
        <c:auto val="1"/>
        <c:lblAlgn val="ctr"/>
        <c:lblOffset val="100"/>
        <c:noMultiLvlLbl val="0"/>
      </c:catAx>
      <c:valAx>
        <c:axId val="7282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AMORTIZATION.xlsx]Pivot1!PivotTable2</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Pivot1!$A$4:$A$66</c:f>
              <c:strCache>
                <c:ptCount val="62"/>
                <c:pt idx="0">
                  <c:v>Amit Das</c:v>
                </c:pt>
                <c:pt idx="1">
                  <c:v>Amit Mitra</c:v>
                </c:pt>
                <c:pt idx="2">
                  <c:v>Amit Paul</c:v>
                </c:pt>
                <c:pt idx="3">
                  <c:v>Amit Roy</c:v>
                </c:pt>
                <c:pt idx="4">
                  <c:v>Amit Sen</c:v>
                </c:pt>
                <c:pt idx="5">
                  <c:v>Amit Singh</c:v>
                </c:pt>
                <c:pt idx="6">
                  <c:v>Amit Verma</c:v>
                </c:pt>
                <c:pt idx="7">
                  <c:v>Ananya Das</c:v>
                </c:pt>
                <c:pt idx="8">
                  <c:v>Ananya Dutta</c:v>
                </c:pt>
                <c:pt idx="9">
                  <c:v>Ananya Ghosh</c:v>
                </c:pt>
                <c:pt idx="10">
                  <c:v>Ananya Mitra</c:v>
                </c:pt>
                <c:pt idx="11">
                  <c:v>Ananya Roy</c:v>
                </c:pt>
                <c:pt idx="12">
                  <c:v>Ananya Sharma</c:v>
                </c:pt>
                <c:pt idx="13">
                  <c:v>Ananya Singh</c:v>
                </c:pt>
                <c:pt idx="14">
                  <c:v>Ananya Verma</c:v>
                </c:pt>
                <c:pt idx="15">
                  <c:v>Arjun Das</c:v>
                </c:pt>
                <c:pt idx="16">
                  <c:v>Arjun Dutta</c:v>
                </c:pt>
                <c:pt idx="17">
                  <c:v>Arjun Mitra</c:v>
                </c:pt>
                <c:pt idx="18">
                  <c:v>Arjun Roy</c:v>
                </c:pt>
                <c:pt idx="19">
                  <c:v>Arjun Sen</c:v>
                </c:pt>
                <c:pt idx="20">
                  <c:v>Arjun Singh</c:v>
                </c:pt>
                <c:pt idx="21">
                  <c:v>Karan Dutta</c:v>
                </c:pt>
                <c:pt idx="22">
                  <c:v>Karan Mitra</c:v>
                </c:pt>
                <c:pt idx="23">
                  <c:v>Karan Paul</c:v>
                </c:pt>
                <c:pt idx="24">
                  <c:v>Karan Sen</c:v>
                </c:pt>
                <c:pt idx="25">
                  <c:v>Karan Sharma</c:v>
                </c:pt>
                <c:pt idx="26">
                  <c:v>Karan Singh</c:v>
                </c:pt>
                <c:pt idx="27">
                  <c:v>Neha Dutta</c:v>
                </c:pt>
                <c:pt idx="28">
                  <c:v>Neha Roy</c:v>
                </c:pt>
                <c:pt idx="29">
                  <c:v>Neha Sharma</c:v>
                </c:pt>
                <c:pt idx="30">
                  <c:v>Neha Singh</c:v>
                </c:pt>
                <c:pt idx="31">
                  <c:v>Neha Verma</c:v>
                </c:pt>
                <c:pt idx="32">
                  <c:v>Pooja Ghosh</c:v>
                </c:pt>
                <c:pt idx="33">
                  <c:v>Pooja Roy</c:v>
                </c:pt>
                <c:pt idx="34">
                  <c:v>Pooja Sen</c:v>
                </c:pt>
                <c:pt idx="35">
                  <c:v>Pooja Sharma</c:v>
                </c:pt>
                <c:pt idx="36">
                  <c:v>Pooja Singh</c:v>
                </c:pt>
                <c:pt idx="37">
                  <c:v>Priya Das</c:v>
                </c:pt>
                <c:pt idx="38">
                  <c:v>Priya Mitra</c:v>
                </c:pt>
                <c:pt idx="39">
                  <c:v>Priya Roy</c:v>
                </c:pt>
                <c:pt idx="40">
                  <c:v>Priya Sen</c:v>
                </c:pt>
                <c:pt idx="41">
                  <c:v>Priya Sharma</c:v>
                </c:pt>
                <c:pt idx="42">
                  <c:v>Priya Singh</c:v>
                </c:pt>
                <c:pt idx="43">
                  <c:v>Priya Verma</c:v>
                </c:pt>
                <c:pt idx="44">
                  <c:v>Rahul Ghosh</c:v>
                </c:pt>
                <c:pt idx="45">
                  <c:v>Rahul Paul</c:v>
                </c:pt>
                <c:pt idx="46">
                  <c:v>Rahul Roy</c:v>
                </c:pt>
                <c:pt idx="47">
                  <c:v>Rahul Sen</c:v>
                </c:pt>
                <c:pt idx="48">
                  <c:v>Rahul Verma</c:v>
                </c:pt>
                <c:pt idx="49">
                  <c:v>Rohan Mitra</c:v>
                </c:pt>
                <c:pt idx="50">
                  <c:v>Rohan Paul</c:v>
                </c:pt>
                <c:pt idx="51">
                  <c:v>Rohan Roy</c:v>
                </c:pt>
                <c:pt idx="52">
                  <c:v>Rohan Singh</c:v>
                </c:pt>
                <c:pt idx="53">
                  <c:v>Sneha Das</c:v>
                </c:pt>
                <c:pt idx="54">
                  <c:v>Sneha Dutta</c:v>
                </c:pt>
                <c:pt idx="55">
                  <c:v>Sneha Ghosh</c:v>
                </c:pt>
                <c:pt idx="56">
                  <c:v>Sneha Mitra</c:v>
                </c:pt>
                <c:pt idx="57">
                  <c:v>Sneha Paul</c:v>
                </c:pt>
                <c:pt idx="58">
                  <c:v>Sneha Roy</c:v>
                </c:pt>
                <c:pt idx="59">
                  <c:v>Sneha Sen</c:v>
                </c:pt>
                <c:pt idx="60">
                  <c:v>Sneha Sharma</c:v>
                </c:pt>
                <c:pt idx="61">
                  <c:v>Sneha Verma</c:v>
                </c:pt>
              </c:strCache>
            </c:strRef>
          </c:cat>
          <c:val>
            <c:numRef>
              <c:f>Pivot1!$B$4:$B$66</c:f>
              <c:numCache>
                <c:formatCode>General</c:formatCode>
                <c:ptCount val="62"/>
                <c:pt idx="0">
                  <c:v>875</c:v>
                </c:pt>
                <c:pt idx="1">
                  <c:v>767</c:v>
                </c:pt>
                <c:pt idx="2">
                  <c:v>1595</c:v>
                </c:pt>
                <c:pt idx="3">
                  <c:v>3001</c:v>
                </c:pt>
                <c:pt idx="4">
                  <c:v>763</c:v>
                </c:pt>
                <c:pt idx="5">
                  <c:v>755</c:v>
                </c:pt>
                <c:pt idx="6">
                  <c:v>713</c:v>
                </c:pt>
                <c:pt idx="7">
                  <c:v>1427</c:v>
                </c:pt>
                <c:pt idx="8">
                  <c:v>1691</c:v>
                </c:pt>
                <c:pt idx="9">
                  <c:v>821</c:v>
                </c:pt>
                <c:pt idx="10">
                  <c:v>2272</c:v>
                </c:pt>
                <c:pt idx="11">
                  <c:v>751</c:v>
                </c:pt>
                <c:pt idx="12">
                  <c:v>751</c:v>
                </c:pt>
                <c:pt idx="13">
                  <c:v>1436</c:v>
                </c:pt>
                <c:pt idx="14">
                  <c:v>869</c:v>
                </c:pt>
                <c:pt idx="15">
                  <c:v>664</c:v>
                </c:pt>
                <c:pt idx="16">
                  <c:v>1461</c:v>
                </c:pt>
                <c:pt idx="17">
                  <c:v>679</c:v>
                </c:pt>
                <c:pt idx="18">
                  <c:v>875</c:v>
                </c:pt>
                <c:pt idx="19">
                  <c:v>653</c:v>
                </c:pt>
                <c:pt idx="20">
                  <c:v>679</c:v>
                </c:pt>
                <c:pt idx="21">
                  <c:v>1513</c:v>
                </c:pt>
                <c:pt idx="22">
                  <c:v>1585</c:v>
                </c:pt>
                <c:pt idx="23">
                  <c:v>2016</c:v>
                </c:pt>
                <c:pt idx="24">
                  <c:v>1561</c:v>
                </c:pt>
                <c:pt idx="25">
                  <c:v>825</c:v>
                </c:pt>
                <c:pt idx="26">
                  <c:v>838</c:v>
                </c:pt>
                <c:pt idx="27">
                  <c:v>725</c:v>
                </c:pt>
                <c:pt idx="28">
                  <c:v>895</c:v>
                </c:pt>
                <c:pt idx="29">
                  <c:v>718</c:v>
                </c:pt>
                <c:pt idx="30">
                  <c:v>762</c:v>
                </c:pt>
                <c:pt idx="31">
                  <c:v>717</c:v>
                </c:pt>
                <c:pt idx="32">
                  <c:v>651</c:v>
                </c:pt>
                <c:pt idx="33">
                  <c:v>2195</c:v>
                </c:pt>
                <c:pt idx="34">
                  <c:v>1394</c:v>
                </c:pt>
                <c:pt idx="35">
                  <c:v>1482</c:v>
                </c:pt>
                <c:pt idx="36">
                  <c:v>1560</c:v>
                </c:pt>
                <c:pt idx="37">
                  <c:v>1559</c:v>
                </c:pt>
                <c:pt idx="38">
                  <c:v>848</c:v>
                </c:pt>
                <c:pt idx="39">
                  <c:v>864</c:v>
                </c:pt>
                <c:pt idx="40">
                  <c:v>892</c:v>
                </c:pt>
                <c:pt idx="41">
                  <c:v>735</c:v>
                </c:pt>
                <c:pt idx="42">
                  <c:v>752</c:v>
                </c:pt>
                <c:pt idx="43">
                  <c:v>2062</c:v>
                </c:pt>
                <c:pt idx="44">
                  <c:v>1377</c:v>
                </c:pt>
                <c:pt idx="45">
                  <c:v>890</c:v>
                </c:pt>
                <c:pt idx="46">
                  <c:v>2417</c:v>
                </c:pt>
                <c:pt idx="47">
                  <c:v>769</c:v>
                </c:pt>
                <c:pt idx="48">
                  <c:v>2418</c:v>
                </c:pt>
                <c:pt idx="49">
                  <c:v>1402</c:v>
                </c:pt>
                <c:pt idx="50">
                  <c:v>1653</c:v>
                </c:pt>
                <c:pt idx="51">
                  <c:v>3883</c:v>
                </c:pt>
                <c:pt idx="52">
                  <c:v>1582</c:v>
                </c:pt>
                <c:pt idx="53">
                  <c:v>714</c:v>
                </c:pt>
                <c:pt idx="54">
                  <c:v>679</c:v>
                </c:pt>
                <c:pt idx="55">
                  <c:v>1438</c:v>
                </c:pt>
                <c:pt idx="56">
                  <c:v>696</c:v>
                </c:pt>
                <c:pt idx="57">
                  <c:v>1484</c:v>
                </c:pt>
                <c:pt idx="58">
                  <c:v>1572</c:v>
                </c:pt>
                <c:pt idx="59">
                  <c:v>706</c:v>
                </c:pt>
                <c:pt idx="60">
                  <c:v>881</c:v>
                </c:pt>
                <c:pt idx="61">
                  <c:v>799</c:v>
                </c:pt>
              </c:numCache>
            </c:numRef>
          </c:val>
          <c:extLst>
            <c:ext xmlns:c16="http://schemas.microsoft.com/office/drawing/2014/chart" uri="{C3380CC4-5D6E-409C-BE32-E72D297353CC}">
              <c16:uniqueId val="{00000000-D0AF-4413-B677-ECFD12ED70BF}"/>
            </c:ext>
          </c:extLst>
        </c:ser>
        <c:dLbls>
          <c:showLegendKey val="0"/>
          <c:showVal val="0"/>
          <c:showCatName val="0"/>
          <c:showSerName val="0"/>
          <c:showPercent val="0"/>
          <c:showBubbleSize val="0"/>
        </c:dLbls>
        <c:gapWidth val="100"/>
        <c:overlap val="-24"/>
        <c:axId val="577603407"/>
        <c:axId val="577604847"/>
      </c:barChart>
      <c:catAx>
        <c:axId val="577603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604847"/>
        <c:crosses val="autoZero"/>
        <c:auto val="1"/>
        <c:lblAlgn val="ctr"/>
        <c:lblOffset val="100"/>
        <c:noMultiLvlLbl val="0"/>
      </c:catAx>
      <c:valAx>
        <c:axId val="577604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60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AMORTIZATION.xlsx]Pivot2!PivotTable3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Pivot2!$P$3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DA-454E-A963-EEBE6238C4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DA-454E-A963-EEBE6238C4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7DA-454E-A963-EEBE6238C4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7DA-454E-A963-EEBE6238C4C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7DA-454E-A963-EEBE6238C4C6}"/>
              </c:ext>
            </c:extLst>
          </c:dPt>
          <c:cat>
            <c:strRef>
              <c:f>Pivot2!$O$4:$O$9</c:f>
              <c:strCache>
                <c:ptCount val="5"/>
                <c:pt idx="0">
                  <c:v>Business Loan</c:v>
                </c:pt>
                <c:pt idx="1">
                  <c:v>Car Loan</c:v>
                </c:pt>
                <c:pt idx="2">
                  <c:v>Education Loan</c:v>
                </c:pt>
                <c:pt idx="3">
                  <c:v>Home Loan</c:v>
                </c:pt>
                <c:pt idx="4">
                  <c:v>Personal Loan</c:v>
                </c:pt>
              </c:strCache>
            </c:strRef>
          </c:cat>
          <c:val>
            <c:numRef>
              <c:f>Pivot2!$P$4:$P$9</c:f>
              <c:numCache>
                <c:formatCode>General</c:formatCode>
                <c:ptCount val="5"/>
                <c:pt idx="0">
                  <c:v>15</c:v>
                </c:pt>
                <c:pt idx="1">
                  <c:v>21</c:v>
                </c:pt>
                <c:pt idx="2">
                  <c:v>24</c:v>
                </c:pt>
                <c:pt idx="3">
                  <c:v>15</c:v>
                </c:pt>
                <c:pt idx="4">
                  <c:v>25</c:v>
                </c:pt>
              </c:numCache>
            </c:numRef>
          </c:val>
          <c:extLst>
            <c:ext xmlns:c16="http://schemas.microsoft.com/office/drawing/2014/chart" uri="{C3380CC4-5D6E-409C-BE32-E72D297353CC}">
              <c16:uniqueId val="{0000000A-57DA-454E-A963-EEBE6238C4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AMORTIZATION.xlsx]Pivot3!PivotTable4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7637360811619"/>
          <c:y val="0.12076560824284878"/>
          <c:w val="0.7110799022333737"/>
          <c:h val="0.7802664662871015"/>
        </c:manualLayout>
      </c:layout>
      <c:barChart>
        <c:barDir val="col"/>
        <c:grouping val="clustered"/>
        <c:varyColors val="0"/>
        <c:ser>
          <c:idx val="0"/>
          <c:order val="0"/>
          <c:tx>
            <c:strRef>
              <c:f>Pivot3!$B$3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Pivot3!$A$4:$A$9</c:f>
              <c:strCache>
                <c:ptCount val="5"/>
                <c:pt idx="0">
                  <c:v>Business Loan</c:v>
                </c:pt>
                <c:pt idx="1">
                  <c:v>Car Loan</c:v>
                </c:pt>
                <c:pt idx="2">
                  <c:v>Education Loan</c:v>
                </c:pt>
                <c:pt idx="3">
                  <c:v>Home Loan</c:v>
                </c:pt>
                <c:pt idx="4">
                  <c:v>Personal Loan</c:v>
                </c:pt>
              </c:strCache>
            </c:strRef>
          </c:cat>
          <c:val>
            <c:numRef>
              <c:f>Pivot3!$B$4:$B$9</c:f>
              <c:numCache>
                <c:formatCode>General</c:formatCode>
                <c:ptCount val="5"/>
                <c:pt idx="0">
                  <c:v>37038914</c:v>
                </c:pt>
                <c:pt idx="1">
                  <c:v>20752761</c:v>
                </c:pt>
                <c:pt idx="2">
                  <c:v>34111375</c:v>
                </c:pt>
                <c:pt idx="3">
                  <c:v>79135343</c:v>
                </c:pt>
                <c:pt idx="4">
                  <c:v>27278189</c:v>
                </c:pt>
              </c:numCache>
            </c:numRef>
          </c:val>
          <c:extLst>
            <c:ext xmlns:c16="http://schemas.microsoft.com/office/drawing/2014/chart" uri="{C3380CC4-5D6E-409C-BE32-E72D297353CC}">
              <c16:uniqueId val="{00000000-1A24-4464-AD3B-D18F08577028}"/>
            </c:ext>
          </c:extLst>
        </c:ser>
        <c:dLbls>
          <c:dLblPos val="inEnd"/>
          <c:showLegendKey val="0"/>
          <c:showVal val="1"/>
          <c:showCatName val="0"/>
          <c:showSerName val="0"/>
          <c:showPercent val="0"/>
          <c:showBubbleSize val="0"/>
        </c:dLbls>
        <c:gapWidth val="65"/>
        <c:axId val="667723279"/>
        <c:axId val="667721839"/>
      </c:barChart>
      <c:catAx>
        <c:axId val="667723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7721839"/>
        <c:crosses val="autoZero"/>
        <c:auto val="1"/>
        <c:lblAlgn val="ctr"/>
        <c:lblOffset val="100"/>
        <c:noMultiLvlLbl val="0"/>
      </c:catAx>
      <c:valAx>
        <c:axId val="667721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677232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AMORTIZATION.xlsx]Pivot4!PivotTable5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14-46EC-9443-899E4BB26A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14-46EC-9443-899E4BB26A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14-46EC-9443-899E4BB26A74}"/>
              </c:ext>
            </c:extLst>
          </c:dPt>
          <c:cat>
            <c:strRef>
              <c:f>Pivot4!$A$4:$A$7</c:f>
              <c:strCache>
                <c:ptCount val="3"/>
                <c:pt idx="0">
                  <c:v>Active</c:v>
                </c:pt>
                <c:pt idx="1">
                  <c:v>Closed</c:v>
                </c:pt>
                <c:pt idx="2">
                  <c:v>Pending</c:v>
                </c:pt>
              </c:strCache>
            </c:strRef>
          </c:cat>
          <c:val>
            <c:numRef>
              <c:f>Pivot4!$B$4:$B$7</c:f>
              <c:numCache>
                <c:formatCode>General</c:formatCode>
                <c:ptCount val="3"/>
                <c:pt idx="0">
                  <c:v>33</c:v>
                </c:pt>
                <c:pt idx="1">
                  <c:v>31</c:v>
                </c:pt>
                <c:pt idx="2">
                  <c:v>36</c:v>
                </c:pt>
              </c:numCache>
            </c:numRef>
          </c:val>
          <c:extLst>
            <c:ext xmlns:c16="http://schemas.microsoft.com/office/drawing/2014/chart" uri="{C3380CC4-5D6E-409C-BE32-E72D297353CC}">
              <c16:uniqueId val="{00000006-3E14-46EC-9443-899E4BB26A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[LOAN EMI CALCULATOR AND AMORTIZATION.xlsx]Pivot 5!PivotTable1</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5'!$B$3:$B$4</c:f>
              <c:strCache>
                <c:ptCount val="1"/>
                <c:pt idx="0">
                  <c:v>650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5'!$B$5</c:f>
              <c:numCache>
                <c:formatCode>\₹#,##0</c:formatCode>
                <c:ptCount val="1"/>
                <c:pt idx="0">
                  <c:v>545975</c:v>
                </c:pt>
              </c:numCache>
            </c:numRef>
          </c:val>
          <c:extLst>
            <c:ext xmlns:c16="http://schemas.microsoft.com/office/drawing/2014/chart" uri="{C3380CC4-5D6E-409C-BE32-E72D297353CC}">
              <c16:uniqueId val="{00000000-8F8B-4091-81F1-896B9C31D71D}"/>
            </c:ext>
          </c:extLst>
        </c:ser>
        <c:ser>
          <c:idx val="1"/>
          <c:order val="1"/>
          <c:tx>
            <c:strRef>
              <c:f>'Pivot 5'!$C$3:$C$4</c:f>
              <c:strCache>
                <c:ptCount val="1"/>
                <c:pt idx="0">
                  <c:v>651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5'!$C$5</c:f>
              <c:numCache>
                <c:formatCode>\₹#,##0</c:formatCode>
                <c:ptCount val="1"/>
                <c:pt idx="0">
                  <c:v>1716581</c:v>
                </c:pt>
              </c:numCache>
            </c:numRef>
          </c:val>
          <c:extLst>
            <c:ext xmlns:c16="http://schemas.microsoft.com/office/drawing/2014/chart" uri="{C3380CC4-5D6E-409C-BE32-E72D297353CC}">
              <c16:uniqueId val="{00000001-8F8B-4091-81F1-896B9C31D71D}"/>
            </c:ext>
          </c:extLst>
        </c:ser>
        <c:ser>
          <c:idx val="2"/>
          <c:order val="2"/>
          <c:tx>
            <c:strRef>
              <c:f>'Pivot 5'!$D$3:$D$4</c:f>
              <c:strCache>
                <c:ptCount val="1"/>
                <c:pt idx="0">
                  <c:v>653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5'!$D$5</c:f>
              <c:numCache>
                <c:formatCode>\₹#,##0</c:formatCode>
                <c:ptCount val="1"/>
                <c:pt idx="0">
                  <c:v>1429847</c:v>
                </c:pt>
              </c:numCache>
            </c:numRef>
          </c:val>
          <c:extLst>
            <c:ext xmlns:c16="http://schemas.microsoft.com/office/drawing/2014/chart" uri="{C3380CC4-5D6E-409C-BE32-E72D297353CC}">
              <c16:uniqueId val="{00000002-8F8B-4091-81F1-896B9C31D71D}"/>
            </c:ext>
          </c:extLst>
        </c:ser>
        <c:ser>
          <c:idx val="3"/>
          <c:order val="3"/>
          <c:tx>
            <c:strRef>
              <c:f>'Pivot 5'!$E$3:$E$4</c:f>
              <c:strCache>
                <c:ptCount val="1"/>
                <c:pt idx="0">
                  <c:v>658</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5'!$E$5</c:f>
              <c:numCache>
                <c:formatCode>\₹#,##0</c:formatCode>
                <c:ptCount val="1"/>
                <c:pt idx="0">
                  <c:v>2084595</c:v>
                </c:pt>
              </c:numCache>
            </c:numRef>
          </c:val>
          <c:extLst>
            <c:ext xmlns:c16="http://schemas.microsoft.com/office/drawing/2014/chart" uri="{C3380CC4-5D6E-409C-BE32-E72D297353CC}">
              <c16:uniqueId val="{00000003-8F8B-4091-81F1-896B9C31D71D}"/>
            </c:ext>
          </c:extLst>
        </c:ser>
        <c:ser>
          <c:idx val="4"/>
          <c:order val="4"/>
          <c:tx>
            <c:strRef>
              <c:f>'Pivot 5'!$F$3:$F$4</c:f>
              <c:strCache>
                <c:ptCount val="1"/>
                <c:pt idx="0">
                  <c:v>660</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5'!$F$5</c:f>
              <c:numCache>
                <c:formatCode>\₹#,##0</c:formatCode>
                <c:ptCount val="1"/>
                <c:pt idx="0">
                  <c:v>555966</c:v>
                </c:pt>
              </c:numCache>
            </c:numRef>
          </c:val>
          <c:extLst>
            <c:ext xmlns:c16="http://schemas.microsoft.com/office/drawing/2014/chart" uri="{C3380CC4-5D6E-409C-BE32-E72D297353CC}">
              <c16:uniqueId val="{00000004-8F8B-4091-81F1-896B9C31D71D}"/>
            </c:ext>
          </c:extLst>
        </c:ser>
        <c:ser>
          <c:idx val="5"/>
          <c:order val="5"/>
          <c:tx>
            <c:strRef>
              <c:f>'Pivot 5'!$G$3:$G$4</c:f>
              <c:strCache>
                <c:ptCount val="1"/>
                <c:pt idx="0">
                  <c:v>661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5'!$G$5</c:f>
              <c:numCache>
                <c:formatCode>\₹#,##0</c:formatCode>
                <c:ptCount val="1"/>
                <c:pt idx="0">
                  <c:v>1096846</c:v>
                </c:pt>
              </c:numCache>
            </c:numRef>
          </c:val>
          <c:extLst>
            <c:ext xmlns:c16="http://schemas.microsoft.com/office/drawing/2014/chart" uri="{C3380CC4-5D6E-409C-BE32-E72D297353CC}">
              <c16:uniqueId val="{00000005-8F8B-4091-81F1-896B9C31D71D}"/>
            </c:ext>
          </c:extLst>
        </c:ser>
        <c:ser>
          <c:idx val="6"/>
          <c:order val="6"/>
          <c:tx>
            <c:strRef>
              <c:f>'Pivot 5'!$H$3:$H$4</c:f>
              <c:strCache>
                <c:ptCount val="1"/>
                <c:pt idx="0">
                  <c:v>664</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5'!$H$5</c:f>
              <c:numCache>
                <c:formatCode>\₹#,##0</c:formatCode>
                <c:ptCount val="1"/>
                <c:pt idx="0">
                  <c:v>3416915</c:v>
                </c:pt>
              </c:numCache>
            </c:numRef>
          </c:val>
          <c:extLst>
            <c:ext xmlns:c16="http://schemas.microsoft.com/office/drawing/2014/chart" uri="{C3380CC4-5D6E-409C-BE32-E72D297353CC}">
              <c16:uniqueId val="{00000006-8F8B-4091-81F1-896B9C31D71D}"/>
            </c:ext>
          </c:extLst>
        </c:ser>
        <c:ser>
          <c:idx val="7"/>
          <c:order val="7"/>
          <c:tx>
            <c:strRef>
              <c:f>'Pivot 5'!$I$3:$I$4</c:f>
              <c:strCache>
                <c:ptCount val="1"/>
                <c:pt idx="0">
                  <c:v>666</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5'!$I$5</c:f>
              <c:numCache>
                <c:formatCode>\₹#,##0</c:formatCode>
                <c:ptCount val="1"/>
                <c:pt idx="0">
                  <c:v>1257757</c:v>
                </c:pt>
              </c:numCache>
            </c:numRef>
          </c:val>
          <c:extLst>
            <c:ext xmlns:c16="http://schemas.microsoft.com/office/drawing/2014/chart" uri="{C3380CC4-5D6E-409C-BE32-E72D297353CC}">
              <c16:uniqueId val="{00000007-8F8B-4091-81F1-896B9C31D71D}"/>
            </c:ext>
          </c:extLst>
        </c:ser>
        <c:ser>
          <c:idx val="8"/>
          <c:order val="8"/>
          <c:tx>
            <c:strRef>
              <c:f>'Pivot 5'!$J$3:$J$4</c:f>
              <c:strCache>
                <c:ptCount val="1"/>
                <c:pt idx="0">
                  <c:v>672</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5'!$J$5</c:f>
              <c:numCache>
                <c:formatCode>\₹#,##0</c:formatCode>
                <c:ptCount val="1"/>
                <c:pt idx="0">
                  <c:v>1537995</c:v>
                </c:pt>
              </c:numCache>
            </c:numRef>
          </c:val>
          <c:extLst>
            <c:ext xmlns:c16="http://schemas.microsoft.com/office/drawing/2014/chart" uri="{C3380CC4-5D6E-409C-BE32-E72D297353CC}">
              <c16:uniqueId val="{00000008-8F8B-4091-81F1-896B9C31D71D}"/>
            </c:ext>
          </c:extLst>
        </c:ser>
        <c:ser>
          <c:idx val="9"/>
          <c:order val="9"/>
          <c:tx>
            <c:strRef>
              <c:f>'Pivot 5'!$K$3:$K$4</c:f>
              <c:strCache>
                <c:ptCount val="1"/>
                <c:pt idx="0">
                  <c:v>678</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5'!$K$5</c:f>
              <c:numCache>
                <c:formatCode>\₹#,##0</c:formatCode>
                <c:ptCount val="1"/>
                <c:pt idx="0">
                  <c:v>1030189</c:v>
                </c:pt>
              </c:numCache>
            </c:numRef>
          </c:val>
          <c:extLst>
            <c:ext xmlns:c16="http://schemas.microsoft.com/office/drawing/2014/chart" uri="{C3380CC4-5D6E-409C-BE32-E72D297353CC}">
              <c16:uniqueId val="{00000009-8F8B-4091-81F1-896B9C31D71D}"/>
            </c:ext>
          </c:extLst>
        </c:ser>
        <c:ser>
          <c:idx val="10"/>
          <c:order val="10"/>
          <c:tx>
            <c:strRef>
              <c:f>'Pivot 5'!$L$3:$L$4</c:f>
              <c:strCache>
                <c:ptCount val="1"/>
                <c:pt idx="0">
                  <c:v>679</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5'!$L$5</c:f>
              <c:numCache>
                <c:formatCode>\₹#,##0</c:formatCode>
                <c:ptCount val="1"/>
                <c:pt idx="0">
                  <c:v>7125855</c:v>
                </c:pt>
              </c:numCache>
            </c:numRef>
          </c:val>
          <c:extLst>
            <c:ext xmlns:c16="http://schemas.microsoft.com/office/drawing/2014/chart" uri="{C3380CC4-5D6E-409C-BE32-E72D297353CC}">
              <c16:uniqueId val="{0000000A-8F8B-4091-81F1-896B9C31D71D}"/>
            </c:ext>
          </c:extLst>
        </c:ser>
        <c:ser>
          <c:idx val="11"/>
          <c:order val="11"/>
          <c:tx>
            <c:strRef>
              <c:f>'Pivot 5'!$M$3:$M$4</c:f>
              <c:strCache>
                <c:ptCount val="1"/>
                <c:pt idx="0">
                  <c:v>680</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5'!$M$5</c:f>
              <c:numCache>
                <c:formatCode>\₹#,##0</c:formatCode>
                <c:ptCount val="1"/>
                <c:pt idx="0">
                  <c:v>1474176</c:v>
                </c:pt>
              </c:numCache>
            </c:numRef>
          </c:val>
          <c:extLst>
            <c:ext xmlns:c16="http://schemas.microsoft.com/office/drawing/2014/chart" uri="{C3380CC4-5D6E-409C-BE32-E72D297353CC}">
              <c16:uniqueId val="{0000000B-8F8B-4091-81F1-896B9C31D71D}"/>
            </c:ext>
          </c:extLst>
        </c:ser>
        <c:ser>
          <c:idx val="12"/>
          <c:order val="12"/>
          <c:tx>
            <c:strRef>
              <c:f>'Pivot 5'!$N$3:$N$4</c:f>
              <c:strCache>
                <c:ptCount val="1"/>
                <c:pt idx="0">
                  <c:v>687</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5'!$N$5</c:f>
              <c:numCache>
                <c:formatCode>\₹#,##0</c:formatCode>
                <c:ptCount val="1"/>
                <c:pt idx="0">
                  <c:v>1939186</c:v>
                </c:pt>
              </c:numCache>
            </c:numRef>
          </c:val>
          <c:extLst>
            <c:ext xmlns:c16="http://schemas.microsoft.com/office/drawing/2014/chart" uri="{C3380CC4-5D6E-409C-BE32-E72D297353CC}">
              <c16:uniqueId val="{0000000C-8F8B-4091-81F1-896B9C31D71D}"/>
            </c:ext>
          </c:extLst>
        </c:ser>
        <c:ser>
          <c:idx val="13"/>
          <c:order val="13"/>
          <c:tx>
            <c:strRef>
              <c:f>'Pivot 5'!$O$3:$O$4</c:f>
              <c:strCache>
                <c:ptCount val="1"/>
                <c:pt idx="0">
                  <c:v>693</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5'!$O$5</c:f>
              <c:numCache>
                <c:formatCode>\₹#,##0</c:formatCode>
                <c:ptCount val="1"/>
                <c:pt idx="0">
                  <c:v>2552076</c:v>
                </c:pt>
              </c:numCache>
            </c:numRef>
          </c:val>
          <c:extLst>
            <c:ext xmlns:c16="http://schemas.microsoft.com/office/drawing/2014/chart" uri="{C3380CC4-5D6E-409C-BE32-E72D297353CC}">
              <c16:uniqueId val="{0000000D-8F8B-4091-81F1-896B9C31D71D}"/>
            </c:ext>
          </c:extLst>
        </c:ser>
        <c:ser>
          <c:idx val="14"/>
          <c:order val="14"/>
          <c:tx>
            <c:strRef>
              <c:f>'Pivot 5'!$P$3:$P$4</c:f>
              <c:strCache>
                <c:ptCount val="1"/>
                <c:pt idx="0">
                  <c:v>695</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5'!$P$5</c:f>
              <c:numCache>
                <c:formatCode>\₹#,##0</c:formatCode>
                <c:ptCount val="1"/>
                <c:pt idx="0">
                  <c:v>1205861</c:v>
                </c:pt>
              </c:numCache>
            </c:numRef>
          </c:val>
          <c:extLst>
            <c:ext xmlns:c16="http://schemas.microsoft.com/office/drawing/2014/chart" uri="{C3380CC4-5D6E-409C-BE32-E72D297353CC}">
              <c16:uniqueId val="{0000000E-8F8B-4091-81F1-896B9C31D71D}"/>
            </c:ext>
          </c:extLst>
        </c:ser>
        <c:ser>
          <c:idx val="15"/>
          <c:order val="15"/>
          <c:tx>
            <c:strRef>
              <c:f>'Pivot 5'!$Q$3:$Q$4</c:f>
              <c:strCache>
                <c:ptCount val="1"/>
                <c:pt idx="0">
                  <c:v>696</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5'!$Q$5</c:f>
              <c:numCache>
                <c:formatCode>\₹#,##0</c:formatCode>
                <c:ptCount val="1"/>
                <c:pt idx="0">
                  <c:v>2910971</c:v>
                </c:pt>
              </c:numCache>
            </c:numRef>
          </c:val>
          <c:extLst>
            <c:ext xmlns:c16="http://schemas.microsoft.com/office/drawing/2014/chart" uri="{C3380CC4-5D6E-409C-BE32-E72D297353CC}">
              <c16:uniqueId val="{0000000F-8F8B-4091-81F1-896B9C31D71D}"/>
            </c:ext>
          </c:extLst>
        </c:ser>
        <c:ser>
          <c:idx val="16"/>
          <c:order val="16"/>
          <c:tx>
            <c:strRef>
              <c:f>'Pivot 5'!$R$3:$R$4</c:f>
              <c:strCache>
                <c:ptCount val="1"/>
                <c:pt idx="0">
                  <c:v>698</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5'!$R$5</c:f>
              <c:numCache>
                <c:formatCode>\₹#,##0</c:formatCode>
                <c:ptCount val="1"/>
                <c:pt idx="0">
                  <c:v>614681</c:v>
                </c:pt>
              </c:numCache>
            </c:numRef>
          </c:val>
          <c:extLst>
            <c:ext xmlns:c16="http://schemas.microsoft.com/office/drawing/2014/chart" uri="{C3380CC4-5D6E-409C-BE32-E72D297353CC}">
              <c16:uniqueId val="{00000010-8F8B-4091-81F1-896B9C31D71D}"/>
            </c:ext>
          </c:extLst>
        </c:ser>
        <c:ser>
          <c:idx val="17"/>
          <c:order val="17"/>
          <c:tx>
            <c:strRef>
              <c:f>'Pivot 5'!$S$3:$S$4</c:f>
              <c:strCache>
                <c:ptCount val="1"/>
                <c:pt idx="0">
                  <c:v>701</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5'!$S$5</c:f>
              <c:numCache>
                <c:formatCode>\₹#,##0</c:formatCode>
                <c:ptCount val="1"/>
                <c:pt idx="0">
                  <c:v>2789483</c:v>
                </c:pt>
              </c:numCache>
            </c:numRef>
          </c:val>
          <c:extLst>
            <c:ext xmlns:c16="http://schemas.microsoft.com/office/drawing/2014/chart" uri="{C3380CC4-5D6E-409C-BE32-E72D297353CC}">
              <c16:uniqueId val="{00000011-8F8B-4091-81F1-896B9C31D71D}"/>
            </c:ext>
          </c:extLst>
        </c:ser>
        <c:ser>
          <c:idx val="18"/>
          <c:order val="18"/>
          <c:tx>
            <c:strRef>
              <c:f>'Pivot 5'!$T$3:$T$4</c:f>
              <c:strCache>
                <c:ptCount val="1"/>
                <c:pt idx="0">
                  <c:v>704</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5'!$T$5</c:f>
              <c:numCache>
                <c:formatCode>\₹#,##0</c:formatCode>
                <c:ptCount val="1"/>
                <c:pt idx="0">
                  <c:v>3998801</c:v>
                </c:pt>
              </c:numCache>
            </c:numRef>
          </c:val>
          <c:extLst>
            <c:ext xmlns:c16="http://schemas.microsoft.com/office/drawing/2014/chart" uri="{C3380CC4-5D6E-409C-BE32-E72D297353CC}">
              <c16:uniqueId val="{00000012-8F8B-4091-81F1-896B9C31D71D}"/>
            </c:ext>
          </c:extLst>
        </c:ser>
        <c:ser>
          <c:idx val="19"/>
          <c:order val="19"/>
          <c:tx>
            <c:strRef>
              <c:f>'Pivot 5'!$U$3:$U$4</c:f>
              <c:strCache>
                <c:ptCount val="1"/>
                <c:pt idx="0">
                  <c:v>706</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5'!$U$5</c:f>
              <c:numCache>
                <c:formatCode>\₹#,##0</c:formatCode>
                <c:ptCount val="1"/>
                <c:pt idx="0">
                  <c:v>2310791</c:v>
                </c:pt>
              </c:numCache>
            </c:numRef>
          </c:val>
          <c:extLst>
            <c:ext xmlns:c16="http://schemas.microsoft.com/office/drawing/2014/chart" uri="{C3380CC4-5D6E-409C-BE32-E72D297353CC}">
              <c16:uniqueId val="{00000013-8F8B-4091-81F1-896B9C31D71D}"/>
            </c:ext>
          </c:extLst>
        </c:ser>
        <c:ser>
          <c:idx val="20"/>
          <c:order val="20"/>
          <c:tx>
            <c:strRef>
              <c:f>'Pivot 5'!$V$3:$V$4</c:f>
              <c:strCache>
                <c:ptCount val="1"/>
                <c:pt idx="0">
                  <c:v>709</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5'!$V$5</c:f>
              <c:numCache>
                <c:formatCode>\₹#,##0</c:formatCode>
                <c:ptCount val="1"/>
                <c:pt idx="0">
                  <c:v>473273</c:v>
                </c:pt>
              </c:numCache>
            </c:numRef>
          </c:val>
          <c:extLst>
            <c:ext xmlns:c16="http://schemas.microsoft.com/office/drawing/2014/chart" uri="{C3380CC4-5D6E-409C-BE32-E72D297353CC}">
              <c16:uniqueId val="{00000014-8F8B-4091-81F1-896B9C31D71D}"/>
            </c:ext>
          </c:extLst>
        </c:ser>
        <c:ser>
          <c:idx val="21"/>
          <c:order val="21"/>
          <c:tx>
            <c:strRef>
              <c:f>'Pivot 5'!$W$3:$W$4</c:f>
              <c:strCache>
                <c:ptCount val="1"/>
                <c:pt idx="0">
                  <c:v>711</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5'!$W$5</c:f>
              <c:numCache>
                <c:formatCode>\₹#,##0</c:formatCode>
                <c:ptCount val="1"/>
                <c:pt idx="0">
                  <c:v>477307</c:v>
                </c:pt>
              </c:numCache>
            </c:numRef>
          </c:val>
          <c:extLst>
            <c:ext xmlns:c16="http://schemas.microsoft.com/office/drawing/2014/chart" uri="{C3380CC4-5D6E-409C-BE32-E72D297353CC}">
              <c16:uniqueId val="{00000015-8F8B-4091-81F1-896B9C31D71D}"/>
            </c:ext>
          </c:extLst>
        </c:ser>
        <c:ser>
          <c:idx val="22"/>
          <c:order val="22"/>
          <c:tx>
            <c:strRef>
              <c:f>'Pivot 5'!$X$3:$X$4</c:f>
              <c:strCache>
                <c:ptCount val="1"/>
                <c:pt idx="0">
                  <c:v>713</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5'!$X$5</c:f>
              <c:numCache>
                <c:formatCode>\₹#,##0</c:formatCode>
                <c:ptCount val="1"/>
                <c:pt idx="0">
                  <c:v>1444426</c:v>
                </c:pt>
              </c:numCache>
            </c:numRef>
          </c:val>
          <c:extLst>
            <c:ext xmlns:c16="http://schemas.microsoft.com/office/drawing/2014/chart" uri="{C3380CC4-5D6E-409C-BE32-E72D297353CC}">
              <c16:uniqueId val="{00000016-8F8B-4091-81F1-896B9C31D71D}"/>
            </c:ext>
          </c:extLst>
        </c:ser>
        <c:ser>
          <c:idx val="23"/>
          <c:order val="23"/>
          <c:tx>
            <c:strRef>
              <c:f>'Pivot 5'!$Y$3:$Y$4</c:f>
              <c:strCache>
                <c:ptCount val="1"/>
                <c:pt idx="0">
                  <c:v>714</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5'!$Y$5</c:f>
              <c:numCache>
                <c:formatCode>\₹#,##0</c:formatCode>
                <c:ptCount val="1"/>
                <c:pt idx="0">
                  <c:v>1202920</c:v>
                </c:pt>
              </c:numCache>
            </c:numRef>
          </c:val>
          <c:extLst>
            <c:ext xmlns:c16="http://schemas.microsoft.com/office/drawing/2014/chart" uri="{C3380CC4-5D6E-409C-BE32-E72D297353CC}">
              <c16:uniqueId val="{00000017-8F8B-4091-81F1-896B9C31D71D}"/>
            </c:ext>
          </c:extLst>
        </c:ser>
        <c:ser>
          <c:idx val="24"/>
          <c:order val="24"/>
          <c:tx>
            <c:strRef>
              <c:f>'Pivot 5'!$Z$3:$Z$4</c:f>
              <c:strCache>
                <c:ptCount val="1"/>
                <c:pt idx="0">
                  <c:v>717</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5'!$Z$5</c:f>
              <c:numCache>
                <c:formatCode>\₹#,##0</c:formatCode>
                <c:ptCount val="1"/>
                <c:pt idx="0">
                  <c:v>1460051</c:v>
                </c:pt>
              </c:numCache>
            </c:numRef>
          </c:val>
          <c:extLst>
            <c:ext xmlns:c16="http://schemas.microsoft.com/office/drawing/2014/chart" uri="{C3380CC4-5D6E-409C-BE32-E72D297353CC}">
              <c16:uniqueId val="{00000018-8F8B-4091-81F1-896B9C31D71D}"/>
            </c:ext>
          </c:extLst>
        </c:ser>
        <c:ser>
          <c:idx val="25"/>
          <c:order val="25"/>
          <c:tx>
            <c:strRef>
              <c:f>'Pivot 5'!$AA$3:$AA$4</c:f>
              <c:strCache>
                <c:ptCount val="1"/>
                <c:pt idx="0">
                  <c:v>718</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5'!$AA$5</c:f>
              <c:numCache>
                <c:formatCode>\₹#,##0</c:formatCode>
                <c:ptCount val="1"/>
                <c:pt idx="0">
                  <c:v>1871397</c:v>
                </c:pt>
              </c:numCache>
            </c:numRef>
          </c:val>
          <c:extLst>
            <c:ext xmlns:c16="http://schemas.microsoft.com/office/drawing/2014/chart" uri="{C3380CC4-5D6E-409C-BE32-E72D297353CC}">
              <c16:uniqueId val="{00000019-8F8B-4091-81F1-896B9C31D71D}"/>
            </c:ext>
          </c:extLst>
        </c:ser>
        <c:ser>
          <c:idx val="26"/>
          <c:order val="26"/>
          <c:tx>
            <c:strRef>
              <c:f>'Pivot 5'!$AB$3:$AB$4</c:f>
              <c:strCache>
                <c:ptCount val="1"/>
                <c:pt idx="0">
                  <c:v>720</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5'!$AB$5</c:f>
              <c:numCache>
                <c:formatCode>\₹#,##0</c:formatCode>
                <c:ptCount val="1"/>
                <c:pt idx="0">
                  <c:v>355759</c:v>
                </c:pt>
              </c:numCache>
            </c:numRef>
          </c:val>
          <c:extLst>
            <c:ext xmlns:c16="http://schemas.microsoft.com/office/drawing/2014/chart" uri="{C3380CC4-5D6E-409C-BE32-E72D297353CC}">
              <c16:uniqueId val="{0000001A-8F8B-4091-81F1-896B9C31D71D}"/>
            </c:ext>
          </c:extLst>
        </c:ser>
        <c:ser>
          <c:idx val="27"/>
          <c:order val="27"/>
          <c:tx>
            <c:strRef>
              <c:f>'Pivot 5'!$AC$3:$AC$4</c:f>
              <c:strCache>
                <c:ptCount val="1"/>
                <c:pt idx="0">
                  <c:v>721</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5'!$AC$5</c:f>
              <c:numCache>
                <c:formatCode>\₹#,##0</c:formatCode>
                <c:ptCount val="1"/>
                <c:pt idx="0">
                  <c:v>1074983</c:v>
                </c:pt>
              </c:numCache>
            </c:numRef>
          </c:val>
          <c:extLst>
            <c:ext xmlns:c16="http://schemas.microsoft.com/office/drawing/2014/chart" uri="{C3380CC4-5D6E-409C-BE32-E72D297353CC}">
              <c16:uniqueId val="{0000001B-8F8B-4091-81F1-896B9C31D71D}"/>
            </c:ext>
          </c:extLst>
        </c:ser>
        <c:ser>
          <c:idx val="28"/>
          <c:order val="28"/>
          <c:tx>
            <c:strRef>
              <c:f>'Pivot 5'!$AD$3:$AD$4</c:f>
              <c:strCache>
                <c:ptCount val="1"/>
                <c:pt idx="0">
                  <c:v>725</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5'!$AD$5</c:f>
              <c:numCache>
                <c:formatCode>\₹#,##0</c:formatCode>
                <c:ptCount val="1"/>
                <c:pt idx="0">
                  <c:v>7545798</c:v>
                </c:pt>
              </c:numCache>
            </c:numRef>
          </c:val>
          <c:extLst>
            <c:ext xmlns:c16="http://schemas.microsoft.com/office/drawing/2014/chart" uri="{C3380CC4-5D6E-409C-BE32-E72D297353CC}">
              <c16:uniqueId val="{0000001C-8F8B-4091-81F1-896B9C31D71D}"/>
            </c:ext>
          </c:extLst>
        </c:ser>
        <c:ser>
          <c:idx val="29"/>
          <c:order val="29"/>
          <c:tx>
            <c:strRef>
              <c:f>'Pivot 5'!$AE$3:$AE$4</c:f>
              <c:strCache>
                <c:ptCount val="1"/>
                <c:pt idx="0">
                  <c:v>727</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5'!$AE$5</c:f>
              <c:numCache>
                <c:formatCode>\₹#,##0</c:formatCode>
                <c:ptCount val="1"/>
                <c:pt idx="0">
                  <c:v>3306476</c:v>
                </c:pt>
              </c:numCache>
            </c:numRef>
          </c:val>
          <c:extLst>
            <c:ext xmlns:c16="http://schemas.microsoft.com/office/drawing/2014/chart" uri="{C3380CC4-5D6E-409C-BE32-E72D297353CC}">
              <c16:uniqueId val="{0000001D-8F8B-4091-81F1-896B9C31D71D}"/>
            </c:ext>
          </c:extLst>
        </c:ser>
        <c:ser>
          <c:idx val="30"/>
          <c:order val="30"/>
          <c:tx>
            <c:strRef>
              <c:f>'Pivot 5'!$AF$3:$AF$4</c:f>
              <c:strCache>
                <c:ptCount val="1"/>
                <c:pt idx="0">
                  <c:v>729</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5'!$AF$5</c:f>
              <c:numCache>
                <c:formatCode>\₹#,##0</c:formatCode>
                <c:ptCount val="1"/>
                <c:pt idx="0">
                  <c:v>5303654</c:v>
                </c:pt>
              </c:numCache>
            </c:numRef>
          </c:val>
          <c:extLst>
            <c:ext xmlns:c16="http://schemas.microsoft.com/office/drawing/2014/chart" uri="{C3380CC4-5D6E-409C-BE32-E72D297353CC}">
              <c16:uniqueId val="{0000001E-8F8B-4091-81F1-896B9C31D71D}"/>
            </c:ext>
          </c:extLst>
        </c:ser>
        <c:ser>
          <c:idx val="31"/>
          <c:order val="31"/>
          <c:tx>
            <c:strRef>
              <c:f>'Pivot 5'!$AG$3:$AG$4</c:f>
              <c:strCache>
                <c:ptCount val="1"/>
                <c:pt idx="0">
                  <c:v>731</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5'!$AG$5</c:f>
              <c:numCache>
                <c:formatCode>\₹#,##0</c:formatCode>
                <c:ptCount val="1"/>
                <c:pt idx="0">
                  <c:v>1030169</c:v>
                </c:pt>
              </c:numCache>
            </c:numRef>
          </c:val>
          <c:extLst>
            <c:ext xmlns:c16="http://schemas.microsoft.com/office/drawing/2014/chart" uri="{C3380CC4-5D6E-409C-BE32-E72D297353CC}">
              <c16:uniqueId val="{0000001F-8F8B-4091-81F1-896B9C31D71D}"/>
            </c:ext>
          </c:extLst>
        </c:ser>
        <c:ser>
          <c:idx val="32"/>
          <c:order val="32"/>
          <c:tx>
            <c:strRef>
              <c:f>'Pivot 5'!$AH$3:$AH$4</c:f>
              <c:strCache>
                <c:ptCount val="1"/>
                <c:pt idx="0">
                  <c:v>732</c:v>
                </c:pt>
              </c:strCache>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5'!$AH$5</c:f>
              <c:numCache>
                <c:formatCode>\₹#,##0</c:formatCode>
                <c:ptCount val="1"/>
                <c:pt idx="0">
                  <c:v>557791</c:v>
                </c:pt>
              </c:numCache>
            </c:numRef>
          </c:val>
          <c:extLst>
            <c:ext xmlns:c16="http://schemas.microsoft.com/office/drawing/2014/chart" uri="{C3380CC4-5D6E-409C-BE32-E72D297353CC}">
              <c16:uniqueId val="{00000020-8F8B-4091-81F1-896B9C31D71D}"/>
            </c:ext>
          </c:extLst>
        </c:ser>
        <c:ser>
          <c:idx val="33"/>
          <c:order val="33"/>
          <c:tx>
            <c:strRef>
              <c:f>'Pivot 5'!$AI$3:$AI$4</c:f>
              <c:strCache>
                <c:ptCount val="1"/>
                <c:pt idx="0">
                  <c:v>734</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5'!$AI$5</c:f>
              <c:numCache>
                <c:formatCode>\₹#,##0</c:formatCode>
                <c:ptCount val="1"/>
                <c:pt idx="0">
                  <c:v>890649</c:v>
                </c:pt>
              </c:numCache>
            </c:numRef>
          </c:val>
          <c:extLst>
            <c:ext xmlns:c16="http://schemas.microsoft.com/office/drawing/2014/chart" uri="{C3380CC4-5D6E-409C-BE32-E72D297353CC}">
              <c16:uniqueId val="{00000021-8F8B-4091-81F1-896B9C31D71D}"/>
            </c:ext>
          </c:extLst>
        </c:ser>
        <c:ser>
          <c:idx val="34"/>
          <c:order val="34"/>
          <c:tx>
            <c:strRef>
              <c:f>'Pivot 5'!$AJ$3:$AJ$4</c:f>
              <c:strCache>
                <c:ptCount val="1"/>
                <c:pt idx="0">
                  <c:v>735</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5'!$AJ$5</c:f>
              <c:numCache>
                <c:formatCode>\₹#,##0</c:formatCode>
                <c:ptCount val="1"/>
                <c:pt idx="0">
                  <c:v>2718739</c:v>
                </c:pt>
              </c:numCache>
            </c:numRef>
          </c:val>
          <c:extLst>
            <c:ext xmlns:c16="http://schemas.microsoft.com/office/drawing/2014/chart" uri="{C3380CC4-5D6E-409C-BE32-E72D297353CC}">
              <c16:uniqueId val="{00000022-8F8B-4091-81F1-896B9C31D71D}"/>
            </c:ext>
          </c:extLst>
        </c:ser>
        <c:ser>
          <c:idx val="35"/>
          <c:order val="35"/>
          <c:tx>
            <c:strRef>
              <c:f>'Pivot 5'!$AK$3:$AK$4</c:f>
              <c:strCache>
                <c:ptCount val="1"/>
                <c:pt idx="0">
                  <c:v>740</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5'!$AK$5</c:f>
              <c:numCache>
                <c:formatCode>\₹#,##0</c:formatCode>
                <c:ptCount val="1"/>
                <c:pt idx="0">
                  <c:v>1054913</c:v>
                </c:pt>
              </c:numCache>
            </c:numRef>
          </c:val>
          <c:extLst>
            <c:ext xmlns:c16="http://schemas.microsoft.com/office/drawing/2014/chart" uri="{C3380CC4-5D6E-409C-BE32-E72D297353CC}">
              <c16:uniqueId val="{00000023-8F8B-4091-81F1-896B9C31D71D}"/>
            </c:ext>
          </c:extLst>
        </c:ser>
        <c:ser>
          <c:idx val="36"/>
          <c:order val="36"/>
          <c:tx>
            <c:strRef>
              <c:f>'Pivot 5'!$AL$3:$AL$4</c:f>
              <c:strCache>
                <c:ptCount val="1"/>
                <c:pt idx="0">
                  <c:v>741</c:v>
                </c:pt>
              </c:strCache>
            </c:strRef>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5'!$AL$5</c:f>
              <c:numCache>
                <c:formatCode>\₹#,##0</c:formatCode>
                <c:ptCount val="1"/>
                <c:pt idx="0">
                  <c:v>7180118</c:v>
                </c:pt>
              </c:numCache>
            </c:numRef>
          </c:val>
          <c:extLst>
            <c:ext xmlns:c16="http://schemas.microsoft.com/office/drawing/2014/chart" uri="{C3380CC4-5D6E-409C-BE32-E72D297353CC}">
              <c16:uniqueId val="{00000024-8F8B-4091-81F1-896B9C31D71D}"/>
            </c:ext>
          </c:extLst>
        </c:ser>
        <c:ser>
          <c:idx val="37"/>
          <c:order val="37"/>
          <c:tx>
            <c:strRef>
              <c:f>'Pivot 5'!$AM$3:$AM$4</c:f>
              <c:strCache>
                <c:ptCount val="1"/>
                <c:pt idx="0">
                  <c:v>747</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5'!$AM$5</c:f>
              <c:numCache>
                <c:formatCode>\₹#,##0</c:formatCode>
                <c:ptCount val="1"/>
                <c:pt idx="0">
                  <c:v>1361160</c:v>
                </c:pt>
              </c:numCache>
            </c:numRef>
          </c:val>
          <c:extLst>
            <c:ext xmlns:c16="http://schemas.microsoft.com/office/drawing/2014/chart" uri="{C3380CC4-5D6E-409C-BE32-E72D297353CC}">
              <c16:uniqueId val="{00000025-8F8B-4091-81F1-896B9C31D71D}"/>
            </c:ext>
          </c:extLst>
        </c:ser>
        <c:ser>
          <c:idx val="38"/>
          <c:order val="38"/>
          <c:tx>
            <c:strRef>
              <c:f>'Pivot 5'!$AN$3:$AN$4</c:f>
              <c:strCache>
                <c:ptCount val="1"/>
                <c:pt idx="0">
                  <c:v>750</c:v>
                </c:pt>
              </c:strCache>
            </c:strRef>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5'!$AN$5</c:f>
              <c:numCache>
                <c:formatCode>\₹#,##0</c:formatCode>
                <c:ptCount val="1"/>
                <c:pt idx="0">
                  <c:v>302120</c:v>
                </c:pt>
              </c:numCache>
            </c:numRef>
          </c:val>
          <c:extLst>
            <c:ext xmlns:c16="http://schemas.microsoft.com/office/drawing/2014/chart" uri="{C3380CC4-5D6E-409C-BE32-E72D297353CC}">
              <c16:uniqueId val="{00000026-8F8B-4091-81F1-896B9C31D71D}"/>
            </c:ext>
          </c:extLst>
        </c:ser>
        <c:ser>
          <c:idx val="39"/>
          <c:order val="39"/>
          <c:tx>
            <c:strRef>
              <c:f>'Pivot 5'!$AO$3:$AO$4</c:f>
              <c:strCache>
                <c:ptCount val="1"/>
                <c:pt idx="0">
                  <c:v>751</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5'!$AO$5</c:f>
              <c:numCache>
                <c:formatCode>\₹#,##0</c:formatCode>
                <c:ptCount val="1"/>
                <c:pt idx="0">
                  <c:v>5500420</c:v>
                </c:pt>
              </c:numCache>
            </c:numRef>
          </c:val>
          <c:extLst>
            <c:ext xmlns:c16="http://schemas.microsoft.com/office/drawing/2014/chart" uri="{C3380CC4-5D6E-409C-BE32-E72D297353CC}">
              <c16:uniqueId val="{00000027-8F8B-4091-81F1-896B9C31D71D}"/>
            </c:ext>
          </c:extLst>
        </c:ser>
        <c:ser>
          <c:idx val="40"/>
          <c:order val="40"/>
          <c:tx>
            <c:strRef>
              <c:f>'Pivot 5'!$AP$3:$AP$4</c:f>
              <c:strCache>
                <c:ptCount val="1"/>
                <c:pt idx="0">
                  <c:v>752</c:v>
                </c:pt>
              </c:strCache>
            </c:strRef>
          </c:tx>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5'!$AP$5</c:f>
              <c:numCache>
                <c:formatCode>\₹#,##0</c:formatCode>
                <c:ptCount val="1"/>
                <c:pt idx="0">
                  <c:v>363010</c:v>
                </c:pt>
              </c:numCache>
            </c:numRef>
          </c:val>
          <c:extLst>
            <c:ext xmlns:c16="http://schemas.microsoft.com/office/drawing/2014/chart" uri="{C3380CC4-5D6E-409C-BE32-E72D297353CC}">
              <c16:uniqueId val="{00000028-8F8B-4091-81F1-896B9C31D71D}"/>
            </c:ext>
          </c:extLst>
        </c:ser>
        <c:ser>
          <c:idx val="41"/>
          <c:order val="41"/>
          <c:tx>
            <c:strRef>
              <c:f>'Pivot 5'!$AQ$3:$AQ$4</c:f>
              <c:strCache>
                <c:ptCount val="1"/>
                <c:pt idx="0">
                  <c:v>755</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5'!$AQ$5</c:f>
              <c:numCache>
                <c:formatCode>\₹#,##0</c:formatCode>
                <c:ptCount val="1"/>
                <c:pt idx="0">
                  <c:v>2180325</c:v>
                </c:pt>
              </c:numCache>
            </c:numRef>
          </c:val>
          <c:extLst>
            <c:ext xmlns:c16="http://schemas.microsoft.com/office/drawing/2014/chart" uri="{C3380CC4-5D6E-409C-BE32-E72D297353CC}">
              <c16:uniqueId val="{00000029-8F8B-4091-81F1-896B9C31D71D}"/>
            </c:ext>
          </c:extLst>
        </c:ser>
        <c:ser>
          <c:idx val="42"/>
          <c:order val="42"/>
          <c:tx>
            <c:strRef>
              <c:f>'Pivot 5'!$AR$3:$AR$4</c:f>
              <c:strCache>
                <c:ptCount val="1"/>
                <c:pt idx="0">
                  <c:v>756</c:v>
                </c:pt>
              </c:strCache>
            </c:strRef>
          </c:tx>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5'!$AR$5</c:f>
              <c:numCache>
                <c:formatCode>\₹#,##0</c:formatCode>
                <c:ptCount val="1"/>
                <c:pt idx="0">
                  <c:v>1682261</c:v>
                </c:pt>
              </c:numCache>
            </c:numRef>
          </c:val>
          <c:extLst>
            <c:ext xmlns:c16="http://schemas.microsoft.com/office/drawing/2014/chart" uri="{C3380CC4-5D6E-409C-BE32-E72D297353CC}">
              <c16:uniqueId val="{0000002A-8F8B-4091-81F1-896B9C31D71D}"/>
            </c:ext>
          </c:extLst>
        </c:ser>
        <c:ser>
          <c:idx val="43"/>
          <c:order val="43"/>
          <c:tx>
            <c:strRef>
              <c:f>'Pivot 5'!$AS$3:$AS$4</c:f>
              <c:strCache>
                <c:ptCount val="1"/>
                <c:pt idx="0">
                  <c:v>762</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5'!$AS$5</c:f>
              <c:numCache>
                <c:formatCode>\₹#,##0</c:formatCode>
                <c:ptCount val="1"/>
                <c:pt idx="0">
                  <c:v>3559660</c:v>
                </c:pt>
              </c:numCache>
            </c:numRef>
          </c:val>
          <c:extLst>
            <c:ext xmlns:c16="http://schemas.microsoft.com/office/drawing/2014/chart" uri="{C3380CC4-5D6E-409C-BE32-E72D297353CC}">
              <c16:uniqueId val="{0000002B-8F8B-4091-81F1-896B9C31D71D}"/>
            </c:ext>
          </c:extLst>
        </c:ser>
        <c:ser>
          <c:idx val="44"/>
          <c:order val="44"/>
          <c:tx>
            <c:strRef>
              <c:f>'Pivot 5'!$AT$3:$AT$4</c:f>
              <c:strCache>
                <c:ptCount val="1"/>
                <c:pt idx="0">
                  <c:v>763</c:v>
                </c:pt>
              </c:strCache>
            </c:strRef>
          </c:tx>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5'!$AT$5</c:f>
              <c:numCache>
                <c:formatCode>\₹#,##0</c:formatCode>
                <c:ptCount val="1"/>
                <c:pt idx="0">
                  <c:v>1301959</c:v>
                </c:pt>
              </c:numCache>
            </c:numRef>
          </c:val>
          <c:extLst>
            <c:ext xmlns:c16="http://schemas.microsoft.com/office/drawing/2014/chart" uri="{C3380CC4-5D6E-409C-BE32-E72D297353CC}">
              <c16:uniqueId val="{0000002C-8F8B-4091-81F1-896B9C31D71D}"/>
            </c:ext>
          </c:extLst>
        </c:ser>
        <c:ser>
          <c:idx val="45"/>
          <c:order val="45"/>
          <c:tx>
            <c:strRef>
              <c:f>'Pivot 5'!$AU$3:$AU$4</c:f>
              <c:strCache>
                <c:ptCount val="1"/>
                <c:pt idx="0">
                  <c:v>767</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5'!$AU$5</c:f>
              <c:numCache>
                <c:formatCode>\₹#,##0</c:formatCode>
                <c:ptCount val="1"/>
                <c:pt idx="0">
                  <c:v>5477923</c:v>
                </c:pt>
              </c:numCache>
            </c:numRef>
          </c:val>
          <c:extLst>
            <c:ext xmlns:c16="http://schemas.microsoft.com/office/drawing/2014/chart" uri="{C3380CC4-5D6E-409C-BE32-E72D297353CC}">
              <c16:uniqueId val="{0000002D-8F8B-4091-81F1-896B9C31D71D}"/>
            </c:ext>
          </c:extLst>
        </c:ser>
        <c:ser>
          <c:idx val="46"/>
          <c:order val="46"/>
          <c:tx>
            <c:strRef>
              <c:f>'Pivot 5'!$AV$3:$AV$4</c:f>
              <c:strCache>
                <c:ptCount val="1"/>
                <c:pt idx="0">
                  <c:v>769</c:v>
                </c:pt>
              </c:strCache>
            </c:strRef>
          </c:tx>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5'!$AV$5</c:f>
              <c:numCache>
                <c:formatCode>\₹#,##0</c:formatCode>
                <c:ptCount val="1"/>
                <c:pt idx="0">
                  <c:v>547194</c:v>
                </c:pt>
              </c:numCache>
            </c:numRef>
          </c:val>
          <c:extLst>
            <c:ext xmlns:c16="http://schemas.microsoft.com/office/drawing/2014/chart" uri="{C3380CC4-5D6E-409C-BE32-E72D297353CC}">
              <c16:uniqueId val="{0000002E-8F8B-4091-81F1-896B9C31D71D}"/>
            </c:ext>
          </c:extLst>
        </c:ser>
        <c:ser>
          <c:idx val="47"/>
          <c:order val="47"/>
          <c:tx>
            <c:strRef>
              <c:f>'Pivot 5'!$AW$3:$AW$4</c:f>
              <c:strCache>
                <c:ptCount val="1"/>
                <c:pt idx="0">
                  <c:v>778</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5'!$AW$5</c:f>
              <c:numCache>
                <c:formatCode>\₹#,##0</c:formatCode>
                <c:ptCount val="1"/>
                <c:pt idx="0">
                  <c:v>3559947</c:v>
                </c:pt>
              </c:numCache>
            </c:numRef>
          </c:val>
          <c:extLst>
            <c:ext xmlns:c16="http://schemas.microsoft.com/office/drawing/2014/chart" uri="{C3380CC4-5D6E-409C-BE32-E72D297353CC}">
              <c16:uniqueId val="{0000002F-8F8B-4091-81F1-896B9C31D71D}"/>
            </c:ext>
          </c:extLst>
        </c:ser>
        <c:ser>
          <c:idx val="48"/>
          <c:order val="48"/>
          <c:tx>
            <c:strRef>
              <c:f>'Pivot 5'!$AX$3:$AX$4</c:f>
              <c:strCache>
                <c:ptCount val="1"/>
                <c:pt idx="0">
                  <c:v>779</c:v>
                </c:pt>
              </c:strCache>
            </c:strRef>
          </c:tx>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5'!$AX$5</c:f>
              <c:numCache>
                <c:formatCode>\₹#,##0</c:formatCode>
                <c:ptCount val="1"/>
                <c:pt idx="0">
                  <c:v>1033308</c:v>
                </c:pt>
              </c:numCache>
            </c:numRef>
          </c:val>
          <c:extLst>
            <c:ext xmlns:c16="http://schemas.microsoft.com/office/drawing/2014/chart" uri="{C3380CC4-5D6E-409C-BE32-E72D297353CC}">
              <c16:uniqueId val="{00000030-8F8B-4091-81F1-896B9C31D71D}"/>
            </c:ext>
          </c:extLst>
        </c:ser>
        <c:ser>
          <c:idx val="49"/>
          <c:order val="49"/>
          <c:tx>
            <c:strRef>
              <c:f>'Pivot 5'!$AY$3:$AY$4</c:f>
              <c:strCache>
                <c:ptCount val="1"/>
                <c:pt idx="0">
                  <c:v>783</c:v>
                </c:pt>
              </c:strCache>
            </c:strRef>
          </c:tx>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5'!$AY$5</c:f>
              <c:numCache>
                <c:formatCode>\₹#,##0</c:formatCode>
                <c:ptCount val="1"/>
                <c:pt idx="0">
                  <c:v>1060835</c:v>
                </c:pt>
              </c:numCache>
            </c:numRef>
          </c:val>
          <c:extLst>
            <c:ext xmlns:c16="http://schemas.microsoft.com/office/drawing/2014/chart" uri="{C3380CC4-5D6E-409C-BE32-E72D297353CC}">
              <c16:uniqueId val="{00000031-8F8B-4091-81F1-896B9C31D71D}"/>
            </c:ext>
          </c:extLst>
        </c:ser>
        <c:ser>
          <c:idx val="50"/>
          <c:order val="50"/>
          <c:tx>
            <c:strRef>
              <c:f>'Pivot 5'!$AZ$3:$AZ$4</c:f>
              <c:strCache>
                <c:ptCount val="1"/>
                <c:pt idx="0">
                  <c:v>787</c:v>
                </c:pt>
              </c:strCache>
            </c:strRef>
          </c:tx>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5'!$AZ$5</c:f>
              <c:numCache>
                <c:formatCode>\₹#,##0</c:formatCode>
                <c:ptCount val="1"/>
                <c:pt idx="0">
                  <c:v>1989867</c:v>
                </c:pt>
              </c:numCache>
            </c:numRef>
          </c:val>
          <c:extLst>
            <c:ext xmlns:c16="http://schemas.microsoft.com/office/drawing/2014/chart" uri="{C3380CC4-5D6E-409C-BE32-E72D297353CC}">
              <c16:uniqueId val="{00000032-8F8B-4091-81F1-896B9C31D71D}"/>
            </c:ext>
          </c:extLst>
        </c:ser>
        <c:ser>
          <c:idx val="51"/>
          <c:order val="51"/>
          <c:tx>
            <c:strRef>
              <c:f>'Pivot 5'!$BA$3:$BA$4</c:f>
              <c:strCache>
                <c:ptCount val="1"/>
                <c:pt idx="0">
                  <c:v>791</c:v>
                </c:pt>
              </c:strCache>
            </c:strRef>
          </c:tx>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5'!$BA$5</c:f>
              <c:numCache>
                <c:formatCode>\₹#,##0</c:formatCode>
                <c:ptCount val="1"/>
                <c:pt idx="0">
                  <c:v>6771474</c:v>
                </c:pt>
              </c:numCache>
            </c:numRef>
          </c:val>
          <c:extLst>
            <c:ext xmlns:c16="http://schemas.microsoft.com/office/drawing/2014/chart" uri="{C3380CC4-5D6E-409C-BE32-E72D297353CC}">
              <c16:uniqueId val="{00000033-8F8B-4091-81F1-896B9C31D71D}"/>
            </c:ext>
          </c:extLst>
        </c:ser>
        <c:ser>
          <c:idx val="52"/>
          <c:order val="52"/>
          <c:tx>
            <c:strRef>
              <c:f>'Pivot 5'!$BB$3:$BB$4</c:f>
              <c:strCache>
                <c:ptCount val="1"/>
                <c:pt idx="0">
                  <c:v>799</c:v>
                </c:pt>
              </c:strCache>
            </c:strRef>
          </c:tx>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5'!$BB$5</c:f>
              <c:numCache>
                <c:formatCode>\₹#,##0</c:formatCode>
                <c:ptCount val="1"/>
                <c:pt idx="0">
                  <c:v>2790369</c:v>
                </c:pt>
              </c:numCache>
            </c:numRef>
          </c:val>
          <c:extLst>
            <c:ext xmlns:c16="http://schemas.microsoft.com/office/drawing/2014/chart" uri="{C3380CC4-5D6E-409C-BE32-E72D297353CC}">
              <c16:uniqueId val="{00000034-8F8B-4091-81F1-896B9C31D71D}"/>
            </c:ext>
          </c:extLst>
        </c:ser>
        <c:ser>
          <c:idx val="53"/>
          <c:order val="53"/>
          <c:tx>
            <c:strRef>
              <c:f>'Pivot 5'!$BC$3:$BC$4</c:f>
              <c:strCache>
                <c:ptCount val="1"/>
                <c:pt idx="0">
                  <c:v>808</c:v>
                </c:pt>
              </c:strCache>
            </c:strRef>
          </c:tx>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5'!$BC$5</c:f>
              <c:numCache>
                <c:formatCode>\₹#,##0</c:formatCode>
                <c:ptCount val="1"/>
                <c:pt idx="0">
                  <c:v>372779</c:v>
                </c:pt>
              </c:numCache>
            </c:numRef>
          </c:val>
          <c:extLst>
            <c:ext xmlns:c16="http://schemas.microsoft.com/office/drawing/2014/chart" uri="{C3380CC4-5D6E-409C-BE32-E72D297353CC}">
              <c16:uniqueId val="{00000035-8F8B-4091-81F1-896B9C31D71D}"/>
            </c:ext>
          </c:extLst>
        </c:ser>
        <c:ser>
          <c:idx val="54"/>
          <c:order val="54"/>
          <c:tx>
            <c:strRef>
              <c:f>'Pivot 5'!$BD$3:$BD$4</c:f>
              <c:strCache>
                <c:ptCount val="1"/>
                <c:pt idx="0">
                  <c:v>809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5'!$BD$5</c:f>
              <c:numCache>
                <c:formatCode>\₹#,##0</c:formatCode>
                <c:ptCount val="1"/>
                <c:pt idx="0">
                  <c:v>1750683</c:v>
                </c:pt>
              </c:numCache>
            </c:numRef>
          </c:val>
          <c:extLst>
            <c:ext xmlns:c16="http://schemas.microsoft.com/office/drawing/2014/chart" uri="{C3380CC4-5D6E-409C-BE32-E72D297353CC}">
              <c16:uniqueId val="{00000036-8F8B-4091-81F1-896B9C31D71D}"/>
            </c:ext>
          </c:extLst>
        </c:ser>
        <c:ser>
          <c:idx val="55"/>
          <c:order val="55"/>
          <c:tx>
            <c:strRef>
              <c:f>'Pivot 5'!$BE$3:$BE$4</c:f>
              <c:strCache>
                <c:ptCount val="1"/>
                <c:pt idx="0">
                  <c:v>812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5'!$BE$5</c:f>
              <c:numCache>
                <c:formatCode>\₹#,##0</c:formatCode>
                <c:ptCount val="1"/>
                <c:pt idx="0">
                  <c:v>618757</c:v>
                </c:pt>
              </c:numCache>
            </c:numRef>
          </c:val>
          <c:extLst>
            <c:ext xmlns:c16="http://schemas.microsoft.com/office/drawing/2014/chart" uri="{C3380CC4-5D6E-409C-BE32-E72D297353CC}">
              <c16:uniqueId val="{00000037-8F8B-4091-81F1-896B9C31D71D}"/>
            </c:ext>
          </c:extLst>
        </c:ser>
        <c:ser>
          <c:idx val="56"/>
          <c:order val="56"/>
          <c:tx>
            <c:strRef>
              <c:f>'Pivot 5'!$BF$3:$BF$4</c:f>
              <c:strCache>
                <c:ptCount val="1"/>
                <c:pt idx="0">
                  <c:v>814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5'!$BF$5</c:f>
              <c:numCache>
                <c:formatCode>\₹#,##0</c:formatCode>
                <c:ptCount val="1"/>
                <c:pt idx="0">
                  <c:v>2160788</c:v>
                </c:pt>
              </c:numCache>
            </c:numRef>
          </c:val>
          <c:extLst>
            <c:ext xmlns:c16="http://schemas.microsoft.com/office/drawing/2014/chart" uri="{C3380CC4-5D6E-409C-BE32-E72D297353CC}">
              <c16:uniqueId val="{00000038-8F8B-4091-81F1-896B9C31D71D}"/>
            </c:ext>
          </c:extLst>
        </c:ser>
        <c:ser>
          <c:idx val="57"/>
          <c:order val="57"/>
          <c:tx>
            <c:strRef>
              <c:f>'Pivot 5'!$BG$3:$BG$4</c:f>
              <c:strCache>
                <c:ptCount val="1"/>
                <c:pt idx="0">
                  <c:v>816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5'!$BG$5</c:f>
              <c:numCache>
                <c:formatCode>\₹#,##0</c:formatCode>
                <c:ptCount val="1"/>
                <c:pt idx="0">
                  <c:v>1705205</c:v>
                </c:pt>
              </c:numCache>
            </c:numRef>
          </c:val>
          <c:extLst>
            <c:ext xmlns:c16="http://schemas.microsoft.com/office/drawing/2014/chart" uri="{C3380CC4-5D6E-409C-BE32-E72D297353CC}">
              <c16:uniqueId val="{00000039-8F8B-4091-81F1-896B9C31D71D}"/>
            </c:ext>
          </c:extLst>
        </c:ser>
        <c:ser>
          <c:idx val="58"/>
          <c:order val="58"/>
          <c:tx>
            <c:strRef>
              <c:f>'Pivot 5'!$BH$3:$BH$4</c:f>
              <c:strCache>
                <c:ptCount val="1"/>
                <c:pt idx="0">
                  <c:v>821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5'!$BH$5</c:f>
              <c:numCache>
                <c:formatCode>\₹#,##0</c:formatCode>
                <c:ptCount val="1"/>
                <c:pt idx="0">
                  <c:v>3496987</c:v>
                </c:pt>
              </c:numCache>
            </c:numRef>
          </c:val>
          <c:extLst>
            <c:ext xmlns:c16="http://schemas.microsoft.com/office/drawing/2014/chart" uri="{C3380CC4-5D6E-409C-BE32-E72D297353CC}">
              <c16:uniqueId val="{0000003A-8F8B-4091-81F1-896B9C31D71D}"/>
            </c:ext>
          </c:extLst>
        </c:ser>
        <c:ser>
          <c:idx val="59"/>
          <c:order val="59"/>
          <c:tx>
            <c:strRef>
              <c:f>'Pivot 5'!$BI$3:$BI$4</c:f>
              <c:strCache>
                <c:ptCount val="1"/>
                <c:pt idx="0">
                  <c:v>822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5'!$BI$5</c:f>
              <c:numCache>
                <c:formatCode>\₹#,##0</c:formatCode>
                <c:ptCount val="1"/>
                <c:pt idx="0">
                  <c:v>224436</c:v>
                </c:pt>
              </c:numCache>
            </c:numRef>
          </c:val>
          <c:extLst>
            <c:ext xmlns:c16="http://schemas.microsoft.com/office/drawing/2014/chart" uri="{C3380CC4-5D6E-409C-BE32-E72D297353CC}">
              <c16:uniqueId val="{0000003B-8F8B-4091-81F1-896B9C31D71D}"/>
            </c:ext>
          </c:extLst>
        </c:ser>
        <c:ser>
          <c:idx val="60"/>
          <c:order val="60"/>
          <c:tx>
            <c:strRef>
              <c:f>'Pivot 5'!$BJ$3:$BJ$4</c:f>
              <c:strCache>
                <c:ptCount val="1"/>
                <c:pt idx="0">
                  <c:v>825</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5'!$BJ$5</c:f>
              <c:numCache>
                <c:formatCode>\₹#,##0</c:formatCode>
                <c:ptCount val="1"/>
                <c:pt idx="0">
                  <c:v>6603243</c:v>
                </c:pt>
              </c:numCache>
            </c:numRef>
          </c:val>
          <c:extLst>
            <c:ext xmlns:c16="http://schemas.microsoft.com/office/drawing/2014/chart" uri="{C3380CC4-5D6E-409C-BE32-E72D297353CC}">
              <c16:uniqueId val="{0000003C-8F8B-4091-81F1-896B9C31D71D}"/>
            </c:ext>
          </c:extLst>
        </c:ser>
        <c:ser>
          <c:idx val="61"/>
          <c:order val="61"/>
          <c:tx>
            <c:strRef>
              <c:f>'Pivot 5'!$BK$3:$BK$4</c:f>
              <c:strCache>
                <c:ptCount val="1"/>
                <c:pt idx="0">
                  <c:v>827</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5'!$BK$5</c:f>
              <c:numCache>
                <c:formatCode>\₹#,##0</c:formatCode>
                <c:ptCount val="1"/>
                <c:pt idx="0">
                  <c:v>5031100</c:v>
                </c:pt>
              </c:numCache>
            </c:numRef>
          </c:val>
          <c:extLst>
            <c:ext xmlns:c16="http://schemas.microsoft.com/office/drawing/2014/chart" uri="{C3380CC4-5D6E-409C-BE32-E72D297353CC}">
              <c16:uniqueId val="{0000003D-8F8B-4091-81F1-896B9C31D71D}"/>
            </c:ext>
          </c:extLst>
        </c:ser>
        <c:ser>
          <c:idx val="62"/>
          <c:order val="62"/>
          <c:tx>
            <c:strRef>
              <c:f>'Pivot 5'!$BL$3:$BL$4</c:f>
              <c:strCache>
                <c:ptCount val="1"/>
                <c:pt idx="0">
                  <c:v>829</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5'!$BL$5</c:f>
              <c:numCache>
                <c:formatCode>\₹#,##0</c:formatCode>
                <c:ptCount val="1"/>
                <c:pt idx="0">
                  <c:v>7507463</c:v>
                </c:pt>
              </c:numCache>
            </c:numRef>
          </c:val>
          <c:extLst>
            <c:ext xmlns:c16="http://schemas.microsoft.com/office/drawing/2014/chart" uri="{C3380CC4-5D6E-409C-BE32-E72D297353CC}">
              <c16:uniqueId val="{0000003E-8F8B-4091-81F1-896B9C31D71D}"/>
            </c:ext>
          </c:extLst>
        </c:ser>
        <c:ser>
          <c:idx val="63"/>
          <c:order val="63"/>
          <c:tx>
            <c:strRef>
              <c:f>'Pivot 5'!$BM$3:$BM$4</c:f>
              <c:strCache>
                <c:ptCount val="1"/>
                <c:pt idx="0">
                  <c:v>830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5'!$BM$5</c:f>
              <c:numCache>
                <c:formatCode>\₹#,##0</c:formatCode>
                <c:ptCount val="1"/>
                <c:pt idx="0">
                  <c:v>7190281</c:v>
                </c:pt>
              </c:numCache>
            </c:numRef>
          </c:val>
          <c:extLst>
            <c:ext xmlns:c16="http://schemas.microsoft.com/office/drawing/2014/chart" uri="{C3380CC4-5D6E-409C-BE32-E72D297353CC}">
              <c16:uniqueId val="{0000003F-8F8B-4091-81F1-896B9C31D71D}"/>
            </c:ext>
          </c:extLst>
        </c:ser>
        <c:ser>
          <c:idx val="64"/>
          <c:order val="64"/>
          <c:tx>
            <c:strRef>
              <c:f>'Pivot 5'!$BN$3:$BN$4</c:f>
              <c:strCache>
                <c:ptCount val="1"/>
                <c:pt idx="0">
                  <c:v>838</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5'!$BN$5</c:f>
              <c:numCache>
                <c:formatCode>\₹#,##0</c:formatCode>
                <c:ptCount val="1"/>
                <c:pt idx="0">
                  <c:v>417548</c:v>
                </c:pt>
              </c:numCache>
            </c:numRef>
          </c:val>
          <c:extLst>
            <c:ext xmlns:c16="http://schemas.microsoft.com/office/drawing/2014/chart" uri="{C3380CC4-5D6E-409C-BE32-E72D297353CC}">
              <c16:uniqueId val="{00000040-8F8B-4091-81F1-896B9C31D71D}"/>
            </c:ext>
          </c:extLst>
        </c:ser>
        <c:ser>
          <c:idx val="65"/>
          <c:order val="65"/>
          <c:tx>
            <c:strRef>
              <c:f>'Pivot 5'!$BO$3:$BO$4</c:f>
              <c:strCache>
                <c:ptCount val="1"/>
                <c:pt idx="0">
                  <c:v>839</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5'!$BO$5</c:f>
              <c:numCache>
                <c:formatCode>\₹#,##0</c:formatCode>
                <c:ptCount val="1"/>
                <c:pt idx="0">
                  <c:v>377761</c:v>
                </c:pt>
              </c:numCache>
            </c:numRef>
          </c:val>
          <c:extLst>
            <c:ext xmlns:c16="http://schemas.microsoft.com/office/drawing/2014/chart" uri="{C3380CC4-5D6E-409C-BE32-E72D297353CC}">
              <c16:uniqueId val="{00000041-8F8B-4091-81F1-896B9C31D71D}"/>
            </c:ext>
          </c:extLst>
        </c:ser>
        <c:ser>
          <c:idx val="66"/>
          <c:order val="66"/>
          <c:tx>
            <c:strRef>
              <c:f>'Pivot 5'!$BP$3:$BP$4</c:f>
              <c:strCache>
                <c:ptCount val="1"/>
                <c:pt idx="0">
                  <c:v>844</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5'!$BP$5</c:f>
              <c:numCache>
                <c:formatCode>\₹#,##0</c:formatCode>
                <c:ptCount val="1"/>
                <c:pt idx="0">
                  <c:v>2353869</c:v>
                </c:pt>
              </c:numCache>
            </c:numRef>
          </c:val>
          <c:extLst>
            <c:ext xmlns:c16="http://schemas.microsoft.com/office/drawing/2014/chart" uri="{C3380CC4-5D6E-409C-BE32-E72D297353CC}">
              <c16:uniqueId val="{00000042-8F8B-4091-81F1-896B9C31D71D}"/>
            </c:ext>
          </c:extLst>
        </c:ser>
        <c:ser>
          <c:idx val="67"/>
          <c:order val="67"/>
          <c:tx>
            <c:strRef>
              <c:f>'Pivot 5'!$BQ$3:$BQ$4</c:f>
              <c:strCache>
                <c:ptCount val="1"/>
                <c:pt idx="0">
                  <c:v>848</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5'!$BQ$5</c:f>
              <c:numCache>
                <c:formatCode>\₹#,##0</c:formatCode>
                <c:ptCount val="1"/>
                <c:pt idx="0">
                  <c:v>598021</c:v>
                </c:pt>
              </c:numCache>
            </c:numRef>
          </c:val>
          <c:extLst>
            <c:ext xmlns:c16="http://schemas.microsoft.com/office/drawing/2014/chart" uri="{C3380CC4-5D6E-409C-BE32-E72D297353CC}">
              <c16:uniqueId val="{00000043-8F8B-4091-81F1-896B9C31D71D}"/>
            </c:ext>
          </c:extLst>
        </c:ser>
        <c:ser>
          <c:idx val="68"/>
          <c:order val="68"/>
          <c:tx>
            <c:strRef>
              <c:f>'Pivot 5'!$BR$3:$BR$4</c:f>
              <c:strCache>
                <c:ptCount val="1"/>
                <c:pt idx="0">
                  <c:v>852</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5'!$BR$5</c:f>
              <c:numCache>
                <c:formatCode>\₹#,##0</c:formatCode>
                <c:ptCount val="1"/>
                <c:pt idx="0">
                  <c:v>1481317</c:v>
                </c:pt>
              </c:numCache>
            </c:numRef>
          </c:val>
          <c:extLst>
            <c:ext xmlns:c16="http://schemas.microsoft.com/office/drawing/2014/chart" uri="{C3380CC4-5D6E-409C-BE32-E72D297353CC}">
              <c16:uniqueId val="{00000044-8F8B-4091-81F1-896B9C31D71D}"/>
            </c:ext>
          </c:extLst>
        </c:ser>
        <c:ser>
          <c:idx val="69"/>
          <c:order val="69"/>
          <c:tx>
            <c:strRef>
              <c:f>'Pivot 5'!$BS$3:$BS$4</c:f>
              <c:strCache>
                <c:ptCount val="1"/>
                <c:pt idx="0">
                  <c:v>856</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5'!$BS$5</c:f>
              <c:numCache>
                <c:formatCode>\₹#,##0</c:formatCode>
                <c:ptCount val="1"/>
                <c:pt idx="0">
                  <c:v>4012017</c:v>
                </c:pt>
              </c:numCache>
            </c:numRef>
          </c:val>
          <c:extLst>
            <c:ext xmlns:c16="http://schemas.microsoft.com/office/drawing/2014/chart" uri="{C3380CC4-5D6E-409C-BE32-E72D297353CC}">
              <c16:uniqueId val="{00000045-8F8B-4091-81F1-896B9C31D71D}"/>
            </c:ext>
          </c:extLst>
        </c:ser>
        <c:ser>
          <c:idx val="70"/>
          <c:order val="70"/>
          <c:tx>
            <c:strRef>
              <c:f>'Pivot 5'!$BT$3:$BT$4</c:f>
              <c:strCache>
                <c:ptCount val="1"/>
                <c:pt idx="0">
                  <c:v>863</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5'!$BT$5</c:f>
              <c:numCache>
                <c:formatCode>\₹#,##0</c:formatCode>
                <c:ptCount val="1"/>
                <c:pt idx="0">
                  <c:v>645373</c:v>
                </c:pt>
              </c:numCache>
            </c:numRef>
          </c:val>
          <c:extLst>
            <c:ext xmlns:c16="http://schemas.microsoft.com/office/drawing/2014/chart" uri="{C3380CC4-5D6E-409C-BE32-E72D297353CC}">
              <c16:uniqueId val="{00000046-8F8B-4091-81F1-896B9C31D71D}"/>
            </c:ext>
          </c:extLst>
        </c:ser>
        <c:ser>
          <c:idx val="71"/>
          <c:order val="71"/>
          <c:tx>
            <c:strRef>
              <c:f>'Pivot 5'!$BU$3:$BU$4</c:f>
              <c:strCache>
                <c:ptCount val="1"/>
                <c:pt idx="0">
                  <c:v>864</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5'!$BU$5</c:f>
              <c:numCache>
                <c:formatCode>\₹#,##0</c:formatCode>
                <c:ptCount val="1"/>
                <c:pt idx="0">
                  <c:v>1601068</c:v>
                </c:pt>
              </c:numCache>
            </c:numRef>
          </c:val>
          <c:extLst>
            <c:ext xmlns:c16="http://schemas.microsoft.com/office/drawing/2014/chart" uri="{C3380CC4-5D6E-409C-BE32-E72D297353CC}">
              <c16:uniqueId val="{00000047-8F8B-4091-81F1-896B9C31D71D}"/>
            </c:ext>
          </c:extLst>
        </c:ser>
        <c:ser>
          <c:idx val="72"/>
          <c:order val="72"/>
          <c:tx>
            <c:strRef>
              <c:f>'Pivot 5'!$BV$3:$BV$4</c:f>
              <c:strCache>
                <c:ptCount val="1"/>
                <c:pt idx="0">
                  <c:v>866</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5'!$BV$5</c:f>
              <c:numCache>
                <c:formatCode>\₹#,##0</c:formatCode>
                <c:ptCount val="1"/>
                <c:pt idx="0">
                  <c:v>1028488</c:v>
                </c:pt>
              </c:numCache>
            </c:numRef>
          </c:val>
          <c:extLst>
            <c:ext xmlns:c16="http://schemas.microsoft.com/office/drawing/2014/chart" uri="{C3380CC4-5D6E-409C-BE32-E72D297353CC}">
              <c16:uniqueId val="{00000048-8F8B-4091-81F1-896B9C31D71D}"/>
            </c:ext>
          </c:extLst>
        </c:ser>
        <c:ser>
          <c:idx val="73"/>
          <c:order val="73"/>
          <c:tx>
            <c:strRef>
              <c:f>'Pivot 5'!$BW$3:$BW$4</c:f>
              <c:strCache>
                <c:ptCount val="1"/>
                <c:pt idx="0">
                  <c:v>869</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5'!$BW$5</c:f>
              <c:numCache>
                <c:formatCode>\₹#,##0</c:formatCode>
                <c:ptCount val="1"/>
                <c:pt idx="0">
                  <c:v>4561779</c:v>
                </c:pt>
              </c:numCache>
            </c:numRef>
          </c:val>
          <c:extLst>
            <c:ext xmlns:c16="http://schemas.microsoft.com/office/drawing/2014/chart" uri="{C3380CC4-5D6E-409C-BE32-E72D297353CC}">
              <c16:uniqueId val="{00000049-8F8B-4091-81F1-896B9C31D71D}"/>
            </c:ext>
          </c:extLst>
        </c:ser>
        <c:ser>
          <c:idx val="74"/>
          <c:order val="74"/>
          <c:tx>
            <c:strRef>
              <c:f>'Pivot 5'!$BX$3:$BX$4</c:f>
              <c:strCache>
                <c:ptCount val="1"/>
                <c:pt idx="0">
                  <c:v>875</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5'!$BX$5</c:f>
              <c:numCache>
                <c:formatCode>\₹#,##0</c:formatCode>
                <c:ptCount val="1"/>
                <c:pt idx="0">
                  <c:v>7873335</c:v>
                </c:pt>
              </c:numCache>
            </c:numRef>
          </c:val>
          <c:extLst>
            <c:ext xmlns:c16="http://schemas.microsoft.com/office/drawing/2014/chart" uri="{C3380CC4-5D6E-409C-BE32-E72D297353CC}">
              <c16:uniqueId val="{0000004A-8F8B-4091-81F1-896B9C31D71D}"/>
            </c:ext>
          </c:extLst>
        </c:ser>
        <c:ser>
          <c:idx val="75"/>
          <c:order val="75"/>
          <c:tx>
            <c:strRef>
              <c:f>'Pivot 5'!$BY$3:$BY$4</c:f>
              <c:strCache>
                <c:ptCount val="1"/>
                <c:pt idx="0">
                  <c:v>881</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5'!$BY$5</c:f>
              <c:numCache>
                <c:formatCode>\₹#,##0</c:formatCode>
                <c:ptCount val="1"/>
                <c:pt idx="0">
                  <c:v>9408225</c:v>
                </c:pt>
              </c:numCache>
            </c:numRef>
          </c:val>
          <c:extLst>
            <c:ext xmlns:c16="http://schemas.microsoft.com/office/drawing/2014/chart" uri="{C3380CC4-5D6E-409C-BE32-E72D297353CC}">
              <c16:uniqueId val="{0000004B-8F8B-4091-81F1-896B9C31D71D}"/>
            </c:ext>
          </c:extLst>
        </c:ser>
        <c:ser>
          <c:idx val="76"/>
          <c:order val="76"/>
          <c:tx>
            <c:strRef>
              <c:f>'Pivot 5'!$BZ$3:$BZ$4</c:f>
              <c:strCache>
                <c:ptCount val="1"/>
                <c:pt idx="0">
                  <c:v>883</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5'!$BZ$5</c:f>
              <c:numCache>
                <c:formatCode>\₹#,##0</c:formatCode>
                <c:ptCount val="1"/>
                <c:pt idx="0">
                  <c:v>2338881</c:v>
                </c:pt>
              </c:numCache>
            </c:numRef>
          </c:val>
          <c:extLst>
            <c:ext xmlns:c16="http://schemas.microsoft.com/office/drawing/2014/chart" uri="{C3380CC4-5D6E-409C-BE32-E72D297353CC}">
              <c16:uniqueId val="{0000004C-8F8B-4091-81F1-896B9C31D71D}"/>
            </c:ext>
          </c:extLst>
        </c:ser>
        <c:ser>
          <c:idx val="77"/>
          <c:order val="77"/>
          <c:tx>
            <c:strRef>
              <c:f>'Pivot 5'!$CA$3:$CA$4</c:f>
              <c:strCache>
                <c:ptCount val="1"/>
                <c:pt idx="0">
                  <c:v>890</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5'!$CA$5</c:f>
              <c:numCache>
                <c:formatCode>\₹#,##0</c:formatCode>
                <c:ptCount val="1"/>
                <c:pt idx="0">
                  <c:v>3557668</c:v>
                </c:pt>
              </c:numCache>
            </c:numRef>
          </c:val>
          <c:extLst>
            <c:ext xmlns:c16="http://schemas.microsoft.com/office/drawing/2014/chart" uri="{C3380CC4-5D6E-409C-BE32-E72D297353CC}">
              <c16:uniqueId val="{0000004D-8F8B-4091-81F1-896B9C31D71D}"/>
            </c:ext>
          </c:extLst>
        </c:ser>
        <c:ser>
          <c:idx val="78"/>
          <c:order val="78"/>
          <c:tx>
            <c:strRef>
              <c:f>'Pivot 5'!$CB$3:$CB$4</c:f>
              <c:strCache>
                <c:ptCount val="1"/>
                <c:pt idx="0">
                  <c:v>892</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5'!$CB$5</c:f>
              <c:numCache>
                <c:formatCode>\₹#,##0</c:formatCode>
                <c:ptCount val="1"/>
                <c:pt idx="0">
                  <c:v>214749</c:v>
                </c:pt>
              </c:numCache>
            </c:numRef>
          </c:val>
          <c:extLst>
            <c:ext xmlns:c16="http://schemas.microsoft.com/office/drawing/2014/chart" uri="{C3380CC4-5D6E-409C-BE32-E72D297353CC}">
              <c16:uniqueId val="{0000004E-8F8B-4091-81F1-896B9C31D71D}"/>
            </c:ext>
          </c:extLst>
        </c:ser>
        <c:ser>
          <c:idx val="79"/>
          <c:order val="79"/>
          <c:tx>
            <c:strRef>
              <c:f>'Pivot 5'!$CC$3:$CC$4</c:f>
              <c:strCache>
                <c:ptCount val="1"/>
                <c:pt idx="0">
                  <c:v>895</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5'!$A$5</c:f>
              <c:strCache>
                <c:ptCount val="1"/>
                <c:pt idx="0">
                  <c:v>Total</c:v>
                </c:pt>
              </c:strCache>
            </c:strRef>
          </c:cat>
          <c:val>
            <c:numRef>
              <c:f>'Pivot 5'!$CC$5</c:f>
              <c:numCache>
                <c:formatCode>\₹#,##0</c:formatCode>
                <c:ptCount val="1"/>
                <c:pt idx="0">
                  <c:v>2159959</c:v>
                </c:pt>
              </c:numCache>
            </c:numRef>
          </c:val>
          <c:extLst>
            <c:ext xmlns:c16="http://schemas.microsoft.com/office/drawing/2014/chart" uri="{C3380CC4-5D6E-409C-BE32-E72D297353CC}">
              <c16:uniqueId val="{0000004F-8F8B-4091-81F1-896B9C31D71D}"/>
            </c:ext>
          </c:extLst>
        </c:ser>
        <c:dLbls>
          <c:showLegendKey val="0"/>
          <c:showVal val="0"/>
          <c:showCatName val="0"/>
          <c:showSerName val="0"/>
          <c:showPercent val="0"/>
          <c:showBubbleSize val="0"/>
        </c:dLbls>
        <c:gapWidth val="100"/>
        <c:overlap val="-24"/>
        <c:axId val="72820992"/>
        <c:axId val="72823392"/>
      </c:barChart>
      <c:catAx>
        <c:axId val="72820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23392"/>
        <c:crosses val="autoZero"/>
        <c:auto val="1"/>
        <c:lblAlgn val="ctr"/>
        <c:lblOffset val="100"/>
        <c:noMultiLvlLbl val="0"/>
      </c:catAx>
      <c:valAx>
        <c:axId val="728233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358775</xdr:colOff>
      <xdr:row>1</xdr:row>
      <xdr:rowOff>152400</xdr:rowOff>
    </xdr:from>
    <xdr:to>
      <xdr:col>14</xdr:col>
      <xdr:colOff>366346</xdr:colOff>
      <xdr:row>18</xdr:row>
      <xdr:rowOff>146538</xdr:rowOff>
    </xdr:to>
    <xdr:graphicFrame macro="">
      <xdr:nvGraphicFramePr>
        <xdr:cNvPr id="2" name="Chart 1">
          <a:extLst>
            <a:ext uri="{FF2B5EF4-FFF2-40B4-BE49-F238E27FC236}">
              <a16:creationId xmlns:a16="http://schemas.microsoft.com/office/drawing/2014/main" id="{837E59AA-3056-606C-A53F-7CEAC6A36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452316</xdr:colOff>
      <xdr:row>9</xdr:row>
      <xdr:rowOff>81410</xdr:rowOff>
    </xdr:from>
    <xdr:to>
      <xdr:col>9</xdr:col>
      <xdr:colOff>286239</xdr:colOff>
      <xdr:row>10</xdr:row>
      <xdr:rowOff>138560</xdr:rowOff>
    </xdr:to>
    <xdr:sp macro="" textlink="$E$14">
      <xdr:nvSpPr>
        <xdr:cNvPr id="3" name="Rectangle 2">
          <a:extLst>
            <a:ext uri="{FF2B5EF4-FFF2-40B4-BE49-F238E27FC236}">
              <a16:creationId xmlns:a16="http://schemas.microsoft.com/office/drawing/2014/main" id="{1307678E-E683-4856-4BE3-DB4F8403B075}"/>
            </a:ext>
          </a:extLst>
        </xdr:cNvPr>
        <xdr:cNvSpPr/>
      </xdr:nvSpPr>
      <xdr:spPr>
        <a:xfrm>
          <a:off x="5418342" y="1766602"/>
          <a:ext cx="1055076" cy="244394"/>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E7B6AAA-4163-41D8-9FAA-AE6A7D0719E0}" type="TxLink">
            <a:rPr lang="en-US" sz="1100" b="0" i="0" u="none" strike="noStrike">
              <a:solidFill>
                <a:srgbClr val="000000"/>
              </a:solidFill>
              <a:latin typeface="Aptos Narrow"/>
            </a:rPr>
            <a:pPr algn="l"/>
            <a:t>₹ 24,36,399.99</a:t>
          </a:fld>
          <a:endParaRPr lang="en-IN"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331613</xdr:colOff>
      <xdr:row>2</xdr:row>
      <xdr:rowOff>130175</xdr:rowOff>
    </xdr:from>
    <xdr:to>
      <xdr:col>17</xdr:col>
      <xdr:colOff>493890</xdr:colOff>
      <xdr:row>38</xdr:row>
      <xdr:rowOff>91722</xdr:rowOff>
    </xdr:to>
    <xdr:graphicFrame macro="">
      <xdr:nvGraphicFramePr>
        <xdr:cNvPr id="2" name="Chart 1">
          <a:extLst>
            <a:ext uri="{FF2B5EF4-FFF2-40B4-BE49-F238E27FC236}">
              <a16:creationId xmlns:a16="http://schemas.microsoft.com/office/drawing/2014/main" id="{F31E684F-0DCB-2580-75A8-87A66B301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500945</xdr:colOff>
      <xdr:row>3</xdr:row>
      <xdr:rowOff>11288</xdr:rowOff>
    </xdr:from>
    <xdr:to>
      <xdr:col>23</xdr:col>
      <xdr:colOff>430389</xdr:colOff>
      <xdr:row>38</xdr:row>
      <xdr:rowOff>119943</xdr:rowOff>
    </xdr:to>
    <mc:AlternateContent xmlns:mc="http://schemas.openxmlformats.org/markup-compatibility/2006">
      <mc:Choice xmlns:a14="http://schemas.microsoft.com/office/drawing/2010/main" Requires="a14">
        <xdr:graphicFrame macro="">
          <xdr:nvGraphicFramePr>
            <xdr:cNvPr id="3" name="Loan_Type">
              <a:extLst>
                <a:ext uri="{FF2B5EF4-FFF2-40B4-BE49-F238E27FC236}">
                  <a16:creationId xmlns:a16="http://schemas.microsoft.com/office/drawing/2014/main" id="{F483816E-4187-CE57-2F0B-A1A1DEB50E33}"/>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dr:sp macro="" textlink="">
          <xdr:nvSpPr>
            <xdr:cNvPr id="0" name=""/>
            <xdr:cNvSpPr>
              <a:spLocks noTextEdit="1"/>
            </xdr:cNvSpPr>
          </xdr:nvSpPr>
          <xdr:spPr>
            <a:xfrm>
              <a:off x="11782778" y="561621"/>
              <a:ext cx="3570111" cy="6529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114300</xdr:colOff>
      <xdr:row>1</xdr:row>
      <xdr:rowOff>174624</xdr:rowOff>
    </xdr:from>
    <xdr:to>
      <xdr:col>13</xdr:col>
      <xdr:colOff>584200</xdr:colOff>
      <xdr:row>34</xdr:row>
      <xdr:rowOff>0</xdr:rowOff>
    </xdr:to>
    <xdr:graphicFrame macro="">
      <xdr:nvGraphicFramePr>
        <xdr:cNvPr id="2" name="Chart 1">
          <a:extLst>
            <a:ext uri="{FF2B5EF4-FFF2-40B4-BE49-F238E27FC236}">
              <a16:creationId xmlns:a16="http://schemas.microsoft.com/office/drawing/2014/main" id="{49590879-4670-19BD-30C4-338DAFCA4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63500</xdr:colOff>
      <xdr:row>2</xdr:row>
      <xdr:rowOff>19050</xdr:rowOff>
    </xdr:from>
    <xdr:to>
      <xdr:col>20</xdr:col>
      <xdr:colOff>25400</xdr:colOff>
      <xdr:row>35</xdr:row>
      <xdr:rowOff>158750</xdr:rowOff>
    </xdr:to>
    <xdr:graphicFrame macro="">
      <xdr:nvGraphicFramePr>
        <xdr:cNvPr id="2" name="Chart 1">
          <a:extLst>
            <a:ext uri="{FF2B5EF4-FFF2-40B4-BE49-F238E27FC236}">
              <a16:creationId xmlns:a16="http://schemas.microsoft.com/office/drawing/2014/main" id="{1F487378-A860-E788-56E9-50904FF76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xdr:colOff>
      <xdr:row>1</xdr:row>
      <xdr:rowOff>174624</xdr:rowOff>
    </xdr:from>
    <xdr:to>
      <xdr:col>17</xdr:col>
      <xdr:colOff>577850</xdr:colOff>
      <xdr:row>34</xdr:row>
      <xdr:rowOff>165100</xdr:rowOff>
    </xdr:to>
    <xdr:graphicFrame macro="">
      <xdr:nvGraphicFramePr>
        <xdr:cNvPr id="2" name="Chart 1">
          <a:extLst>
            <a:ext uri="{FF2B5EF4-FFF2-40B4-BE49-F238E27FC236}">
              <a16:creationId xmlns:a16="http://schemas.microsoft.com/office/drawing/2014/main" id="{4F6DDA0D-35C7-9081-D4B1-501917724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844550</xdr:colOff>
      <xdr:row>7</xdr:row>
      <xdr:rowOff>50800</xdr:rowOff>
    </xdr:from>
    <xdr:to>
      <xdr:col>21</xdr:col>
      <xdr:colOff>596900</xdr:colOff>
      <xdr:row>31</xdr:row>
      <xdr:rowOff>95249</xdr:rowOff>
    </xdr:to>
    <xdr:graphicFrame macro="">
      <xdr:nvGraphicFramePr>
        <xdr:cNvPr id="2" name="Chart 1">
          <a:extLst>
            <a:ext uri="{FF2B5EF4-FFF2-40B4-BE49-F238E27FC236}">
              <a16:creationId xmlns:a16="http://schemas.microsoft.com/office/drawing/2014/main" id="{3EB7D87B-731F-DB99-5077-0D0458BCC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165102</xdr:colOff>
      <xdr:row>6</xdr:row>
      <xdr:rowOff>57151</xdr:rowOff>
    </xdr:from>
    <xdr:to>
      <xdr:col>11</xdr:col>
      <xdr:colOff>471440</xdr:colOff>
      <xdr:row>20</xdr:row>
      <xdr:rowOff>133351</xdr:rowOff>
    </xdr:to>
    <xdr:graphicFrame macro="">
      <xdr:nvGraphicFramePr>
        <xdr:cNvPr id="3" name="Chart 2">
          <a:extLst>
            <a:ext uri="{FF2B5EF4-FFF2-40B4-BE49-F238E27FC236}">
              <a16:creationId xmlns:a16="http://schemas.microsoft.com/office/drawing/2014/main" id="{46B29C15-F017-4CE0-9A25-800981F56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21</xdr:row>
      <xdr:rowOff>0</xdr:rowOff>
    </xdr:from>
    <xdr:to>
      <xdr:col>7</xdr:col>
      <xdr:colOff>69850</xdr:colOff>
      <xdr:row>36</xdr:row>
      <xdr:rowOff>168275</xdr:rowOff>
    </xdr:to>
    <xdr:graphicFrame macro="">
      <xdr:nvGraphicFramePr>
        <xdr:cNvPr id="4" name="Chart 3">
          <a:extLst>
            <a:ext uri="{FF2B5EF4-FFF2-40B4-BE49-F238E27FC236}">
              <a16:creationId xmlns:a16="http://schemas.microsoft.com/office/drawing/2014/main" id="{8C8798B1-CD96-42BC-8957-2CDA530B3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549563</xdr:colOff>
      <xdr:row>2</xdr:row>
      <xdr:rowOff>38485</xdr:rowOff>
    </xdr:from>
    <xdr:to>
      <xdr:col>20</xdr:col>
      <xdr:colOff>202045</xdr:colOff>
      <xdr:row>36</xdr:row>
      <xdr:rowOff>177992</xdr:rowOff>
    </xdr:to>
    <xdr:graphicFrame macro="">
      <xdr:nvGraphicFramePr>
        <xdr:cNvPr id="5" name="Chart 4">
          <a:extLst>
            <a:ext uri="{FF2B5EF4-FFF2-40B4-BE49-F238E27FC236}">
              <a16:creationId xmlns:a16="http://schemas.microsoft.com/office/drawing/2014/main" id="{1F5C20C7-829B-42D6-B7D3-C5972A880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129886</xdr:colOff>
      <xdr:row>20</xdr:row>
      <xdr:rowOff>158749</xdr:rowOff>
    </xdr:from>
    <xdr:to>
      <xdr:col>11</xdr:col>
      <xdr:colOff>501650</xdr:colOff>
      <xdr:row>36</xdr:row>
      <xdr:rowOff>181262</xdr:rowOff>
    </xdr:to>
    <xdr:graphicFrame macro="">
      <xdr:nvGraphicFramePr>
        <xdr:cNvPr id="7" name="Chart 6">
          <a:extLst>
            <a:ext uri="{FF2B5EF4-FFF2-40B4-BE49-F238E27FC236}">
              <a16:creationId xmlns:a16="http://schemas.microsoft.com/office/drawing/2014/main" id="{89DD8B2C-7E6A-41CC-A3C6-BC4B6B8A3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591705</xdr:colOff>
      <xdr:row>37</xdr:row>
      <xdr:rowOff>57728</xdr:rowOff>
    </xdr:from>
    <xdr:to>
      <xdr:col>20</xdr:col>
      <xdr:colOff>202045</xdr:colOff>
      <xdr:row>55</xdr:row>
      <xdr:rowOff>28864</xdr:rowOff>
    </xdr:to>
    <xdr:graphicFrame macro="">
      <xdr:nvGraphicFramePr>
        <xdr:cNvPr id="8" name="Chart 7">
          <a:extLst>
            <a:ext uri="{FF2B5EF4-FFF2-40B4-BE49-F238E27FC236}">
              <a16:creationId xmlns:a16="http://schemas.microsoft.com/office/drawing/2014/main" id="{D2D3E7DE-8763-44EE-A01B-CAF5D3F0C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6350</xdr:colOff>
      <xdr:row>6</xdr:row>
      <xdr:rowOff>76199</xdr:rowOff>
    </xdr:from>
    <xdr:to>
      <xdr:col>4</xdr:col>
      <xdr:colOff>150284</xdr:colOff>
      <xdr:row>20</xdr:row>
      <xdr:rowOff>163560</xdr:rowOff>
    </xdr:to>
    <mc:AlternateContent xmlns:mc="http://schemas.openxmlformats.org/markup-compatibility/2006" xmlns:a14="http://schemas.microsoft.com/office/drawing/2010/main">
      <mc:Choice Requires="a14">
        <xdr:graphicFrame macro="">
          <xdr:nvGraphicFramePr>
            <xdr:cNvPr id="9" name="Loan_Type 1">
              <a:extLst>
                <a:ext uri="{FF2B5EF4-FFF2-40B4-BE49-F238E27FC236}">
                  <a16:creationId xmlns:a16="http://schemas.microsoft.com/office/drawing/2014/main" id="{CCFC621A-31A8-4518-8C89-F5E4F06EECA0}"/>
                </a:ext>
              </a:extLst>
            </xdr:cNvPr>
            <xdr:cNvGraphicFramePr/>
          </xdr:nvGraphicFramePr>
          <xdr:xfrm>
            <a:off x="0" y="0"/>
            <a:ext cx="0" cy="0"/>
          </xdr:xfrm>
          <a:graphic>
            <a:graphicData uri="http://schemas.microsoft.com/office/drawing/2010/slicer">
              <sle:slicer xmlns:sle="http://schemas.microsoft.com/office/drawing/2010/slicer" name="Loan_Type 1"/>
            </a:graphicData>
          </a:graphic>
        </xdr:graphicFrame>
      </mc:Choice>
      <mc:Fallback xmlns="">
        <xdr:sp macro="" textlink="">
          <xdr:nvSpPr>
            <xdr:cNvPr id="0" name=""/>
            <xdr:cNvSpPr>
              <a:spLocks noTextEdit="1"/>
            </xdr:cNvSpPr>
          </xdr:nvSpPr>
          <xdr:spPr>
            <a:xfrm>
              <a:off x="1218623" y="1432790"/>
              <a:ext cx="1818025" cy="2646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yan Mitra" refreshedDate="46161.514813425929" createdVersion="8" refreshedVersion="8" minRefreshableVersion="3" recordCount="100" xr:uid="{F2822408-AB87-4E12-A458-99E06A814FDD}">
  <cacheSource type="worksheet">
    <worksheetSource name="tblLoan"/>
  </cacheSource>
  <cacheFields count="9">
    <cacheField name="Loan_ID" numFmtId="0">
      <sharedItems count="100">
        <s v="LN001"/>
        <s v="LN002"/>
        <s v="LN003"/>
        <s v="LN004"/>
        <s v="LN005"/>
        <s v="LN006"/>
        <s v="LN007"/>
        <s v="LN008"/>
        <s v="LN009"/>
        <s v="LN010"/>
        <s v="LN011"/>
        <s v="LN012"/>
        <s v="LN013"/>
        <s v="LN014"/>
        <s v="LN015"/>
        <s v="LN016"/>
        <s v="LN017"/>
        <s v="LN018"/>
        <s v="LN019"/>
        <s v="LN020"/>
        <s v="LN021"/>
        <s v="LN022"/>
        <s v="LN023"/>
        <s v="LN024"/>
        <s v="LN025"/>
        <s v="LN026"/>
        <s v="LN027"/>
        <s v="LN028"/>
        <s v="LN029"/>
        <s v="LN030"/>
        <s v="LN031"/>
        <s v="LN032"/>
        <s v="LN033"/>
        <s v="LN034"/>
        <s v="LN035"/>
        <s v="LN036"/>
        <s v="LN037"/>
        <s v="LN038"/>
        <s v="LN039"/>
        <s v="LN040"/>
        <s v="LN041"/>
        <s v="LN042"/>
        <s v="LN043"/>
        <s v="LN044"/>
        <s v="LN045"/>
        <s v="LN046"/>
        <s v="LN047"/>
        <s v="LN048"/>
        <s v="LN049"/>
        <s v="LN050"/>
        <s v="LN051"/>
        <s v="LN052"/>
        <s v="LN053"/>
        <s v="LN054"/>
        <s v="LN055"/>
        <s v="LN056"/>
        <s v="LN057"/>
        <s v="LN058"/>
        <s v="LN059"/>
        <s v="LN060"/>
        <s v="LN061"/>
        <s v="LN062"/>
        <s v="LN063"/>
        <s v="LN064"/>
        <s v="LN065"/>
        <s v="LN066"/>
        <s v="LN067"/>
        <s v="LN068"/>
        <s v="LN069"/>
        <s v="LN070"/>
        <s v="LN071"/>
        <s v="LN072"/>
        <s v="LN073"/>
        <s v="LN074"/>
        <s v="LN075"/>
        <s v="LN076"/>
        <s v="LN077"/>
        <s v="LN078"/>
        <s v="LN079"/>
        <s v="LN080"/>
        <s v="LN081"/>
        <s v="LN082"/>
        <s v="LN083"/>
        <s v="LN084"/>
        <s v="LN085"/>
        <s v="LN086"/>
        <s v="LN087"/>
        <s v="LN088"/>
        <s v="LN089"/>
        <s v="LN090"/>
        <s v="LN091"/>
        <s v="LN092"/>
        <s v="LN093"/>
        <s v="LN094"/>
        <s v="LN095"/>
        <s v="LN096"/>
        <s v="LN097"/>
        <s v="LN098"/>
        <s v="LN099"/>
        <s v="LN100"/>
      </sharedItems>
    </cacheField>
    <cacheField name="Customer_Name" numFmtId="0">
      <sharedItems count="62">
        <s v="Priya Singh"/>
        <s v="Sneha Paul"/>
        <s v="Rahul Roy"/>
        <s v="Pooja Roy"/>
        <s v="Sneha Roy"/>
        <s v="Pooja Singh"/>
        <s v="Rohan Roy"/>
        <s v="Ananya Singh"/>
        <s v="Karan Mitra"/>
        <s v="Karan Sharma"/>
        <s v="Pooja Sen"/>
        <s v="Ananya Mitra"/>
        <s v="Ananya Dutta"/>
        <s v="Sneha Sharma"/>
        <s v="Rohan Singh"/>
        <s v="Arjun Das"/>
        <s v="Amit Roy"/>
        <s v="Sneha Dutta"/>
        <s v="Arjun Roy"/>
        <s v="Sneha Verma"/>
        <s v="Arjun Dutta"/>
        <s v="Rahul Verma"/>
        <s v="Priya Sen"/>
        <s v="Priya Das"/>
        <s v="Arjun Singh"/>
        <s v="Amit Das"/>
        <s v="Ananya Ghosh"/>
        <s v="Ananya Das"/>
        <s v="Rohan Mitra"/>
        <s v="Karan Paul"/>
        <s v="Amit Paul"/>
        <s v="Rahul Ghosh"/>
        <s v="Pooja Ghosh"/>
        <s v="Priya Verma"/>
        <s v="Neha Sharma"/>
        <s v="Priya Sharma"/>
        <s v="Sneha Mitra"/>
        <s v="Karan Dutta"/>
        <s v="Priya Mitra"/>
        <s v="Ananya Verma"/>
        <s v="Ananya Sharma"/>
        <s v="Neha Verma"/>
        <s v="Pooja Sharma"/>
        <s v="Priya Roy"/>
        <s v="Sneha Ghosh"/>
        <s v="Rahul Paul"/>
        <s v="Neha Singh"/>
        <s v="Arjun Sen"/>
        <s v="Amit Verma"/>
        <s v="Amit Singh"/>
        <s v="Sneha Das"/>
        <s v="Rahul Sen"/>
        <s v="Karan Singh"/>
        <s v="Neha Dutta"/>
        <s v="Karan Sen"/>
        <s v="Arjun Mitra"/>
        <s v="Amit Sen"/>
        <s v="Rohan Paul"/>
        <s v="Ananya Roy"/>
        <s v="Neha Roy"/>
        <s v="Sneha Sen"/>
        <s v="Amit Mitra"/>
      </sharedItems>
    </cacheField>
    <cacheField name="Loan_Type" numFmtId="0">
      <sharedItems count="5">
        <s v="Car Loan"/>
        <s v="Home Loan"/>
        <s v="Education Loan"/>
        <s v="Business Loan"/>
        <s v="Personal Loan"/>
      </sharedItems>
    </cacheField>
    <cacheField name="Loan_Amount" numFmtId="164">
      <sharedItems containsSemiMixedTypes="0" containsString="0" containsNumber="1" containsInteger="1" minValue="214749" maxValue="7193832"/>
    </cacheField>
    <cacheField name="Interest_Rate" numFmtId="10">
      <sharedItems containsSemiMixedTypes="0" containsString="0" containsNumber="1" minValue="7.2300000000000003E-2" maxValue="0.1593"/>
    </cacheField>
    <cacheField name="Duration_Years" numFmtId="0">
      <sharedItems containsSemiMixedTypes="0" containsString="0" containsNumber="1" containsInteger="1" minValue="2" maxValue="30"/>
    </cacheField>
    <cacheField name="EMI_Start_Date" numFmtId="0">
      <sharedItems/>
    </cacheField>
    <cacheField name="Credit_Score" numFmtId="0">
      <sharedItems containsSemiMixedTypes="0" containsString="0" containsNumber="1" containsInteger="1" minValue="650" maxValue="895" count="80">
        <n v="752"/>
        <n v="791"/>
        <n v="778"/>
        <n v="883"/>
        <n v="660"/>
        <n v="750"/>
        <n v="731"/>
        <n v="787"/>
        <n v="709"/>
        <n v="672"/>
        <n v="829"/>
        <n v="825"/>
        <n v="698"/>
        <n v="695"/>
        <n v="866"/>
        <n v="881"/>
        <n v="783"/>
        <n v="664"/>
        <n v="809"/>
        <n v="679"/>
        <n v="852"/>
        <n v="875"/>
        <n v="704"/>
        <n v="799"/>
        <n v="732"/>
        <n v="844"/>
        <n v="892"/>
        <n v="729"/>
        <n v="821"/>
        <n v="808"/>
        <n v="687"/>
        <n v="706"/>
        <n v="678"/>
        <n v="740"/>
        <n v="863"/>
        <n v="756"/>
        <n v="816"/>
        <n v="727"/>
        <n v="651"/>
        <n v="693"/>
        <n v="735"/>
        <n v="666"/>
        <n v="718"/>
        <n v="696"/>
        <n v="701"/>
        <n v="848"/>
        <n v="680"/>
        <n v="869"/>
        <n v="751"/>
        <n v="717"/>
        <n v="661"/>
        <n v="762"/>
        <n v="864"/>
        <n v="890"/>
        <n v="653"/>
        <n v="713"/>
        <n v="650"/>
        <n v="720"/>
        <n v="741"/>
        <n v="822"/>
        <n v="658"/>
        <n v="856"/>
        <n v="812"/>
        <n v="755"/>
        <n v="714"/>
        <n v="830"/>
        <n v="769"/>
        <n v="838"/>
        <n v="725"/>
        <n v="827"/>
        <n v="721"/>
        <n v="711"/>
        <n v="779"/>
        <n v="763"/>
        <n v="814"/>
        <n v="747"/>
        <n v="734"/>
        <n v="895"/>
        <n v="839"/>
        <n v="767"/>
      </sharedItems>
    </cacheField>
    <cacheField name="Loan_Status" numFmtId="0">
      <sharedItems count="3">
        <s v="Active"/>
        <s v="Closed"/>
        <s v="Pending"/>
      </sharedItems>
    </cacheField>
  </cacheFields>
  <extLst>
    <ext xmlns:x14="http://schemas.microsoft.com/office/spreadsheetml/2009/9/main" uri="{725AE2AE-9491-48be-B2B4-4EB974FC3084}">
      <x14:pivotCacheDefinition pivotCacheId="875106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363010"/>
    <n v="8.1900000000000001E-2"/>
    <n v="5"/>
    <s v="01-09-2024"/>
    <x v="0"/>
    <x v="0"/>
  </r>
  <r>
    <x v="1"/>
    <x v="1"/>
    <x v="1"/>
    <n v="6771474"/>
    <n v="8.9700000000000002E-2"/>
    <n v="20"/>
    <s v="15-10-2024"/>
    <x v="1"/>
    <x v="1"/>
  </r>
  <r>
    <x v="2"/>
    <x v="2"/>
    <x v="2"/>
    <n v="2099031"/>
    <n v="0.1047"/>
    <n v="15"/>
    <s v="25-01-2024"/>
    <x v="2"/>
    <x v="1"/>
  </r>
  <r>
    <x v="3"/>
    <x v="2"/>
    <x v="2"/>
    <n v="2338881"/>
    <n v="9.35E-2"/>
    <n v="7"/>
    <s v="12-04-2025"/>
    <x v="3"/>
    <x v="1"/>
  </r>
  <r>
    <x v="4"/>
    <x v="3"/>
    <x v="2"/>
    <n v="260586"/>
    <n v="8.539999999999999E-2"/>
    <n v="10"/>
    <s v="26-04-2025"/>
    <x v="4"/>
    <x v="2"/>
  </r>
  <r>
    <x v="5"/>
    <x v="4"/>
    <x v="2"/>
    <n v="302120"/>
    <n v="9.5399999999999985E-2"/>
    <n v="7"/>
    <s v="02-10-2024"/>
    <x v="5"/>
    <x v="2"/>
  </r>
  <r>
    <x v="6"/>
    <x v="5"/>
    <x v="3"/>
    <n v="1030169"/>
    <n v="9.11E-2"/>
    <n v="5"/>
    <s v="05-01-2025"/>
    <x v="6"/>
    <x v="2"/>
  </r>
  <r>
    <x v="7"/>
    <x v="6"/>
    <x v="3"/>
    <n v="1989867"/>
    <n v="0.1036"/>
    <n v="7"/>
    <s v="01-12-2024"/>
    <x v="7"/>
    <x v="2"/>
  </r>
  <r>
    <x v="8"/>
    <x v="7"/>
    <x v="4"/>
    <n v="473273"/>
    <n v="0.10970000000000001"/>
    <n v="2"/>
    <s v="10-06-2024"/>
    <x v="8"/>
    <x v="1"/>
  </r>
  <r>
    <x v="9"/>
    <x v="3"/>
    <x v="4"/>
    <n v="1537995"/>
    <n v="0.13930000000000001"/>
    <n v="5"/>
    <s v="01-04-2024"/>
    <x v="9"/>
    <x v="1"/>
  </r>
  <r>
    <x v="10"/>
    <x v="8"/>
    <x v="1"/>
    <n v="6076359"/>
    <n v="9.4200000000000006E-2"/>
    <n v="30"/>
    <s v="11-10-2024"/>
    <x v="10"/>
    <x v="2"/>
  </r>
  <r>
    <x v="11"/>
    <x v="9"/>
    <x v="3"/>
    <n v="2783146"/>
    <n v="0.11849999999999999"/>
    <n v="5"/>
    <s v="11-09-2024"/>
    <x v="11"/>
    <x v="1"/>
  </r>
  <r>
    <x v="12"/>
    <x v="10"/>
    <x v="4"/>
    <n v="614681"/>
    <n v="0.1202"/>
    <n v="7"/>
    <s v="30-03-2025"/>
    <x v="12"/>
    <x v="0"/>
  </r>
  <r>
    <x v="13"/>
    <x v="11"/>
    <x v="0"/>
    <n v="1205861"/>
    <n v="0.10249999999999999"/>
    <n v="7"/>
    <s v="20-08-2024"/>
    <x v="13"/>
    <x v="0"/>
  </r>
  <r>
    <x v="14"/>
    <x v="12"/>
    <x v="0"/>
    <n v="1028488"/>
    <n v="0.10199999999999999"/>
    <n v="7"/>
    <s v="20-01-2025"/>
    <x v="14"/>
    <x v="2"/>
  </r>
  <r>
    <x v="15"/>
    <x v="13"/>
    <x v="2"/>
    <n v="2214393"/>
    <n v="0.10340000000000001"/>
    <n v="10"/>
    <s v="09-09-2024"/>
    <x v="15"/>
    <x v="2"/>
  </r>
  <r>
    <x v="16"/>
    <x v="14"/>
    <x v="0"/>
    <n v="1060835"/>
    <n v="8.9499999999999996E-2"/>
    <n v="5"/>
    <s v="13-08-2024"/>
    <x v="16"/>
    <x v="1"/>
  </r>
  <r>
    <x v="17"/>
    <x v="15"/>
    <x v="3"/>
    <n v="3416915"/>
    <n v="0.112"/>
    <n v="15"/>
    <s v="13-03-2024"/>
    <x v="17"/>
    <x v="0"/>
  </r>
  <r>
    <x v="18"/>
    <x v="16"/>
    <x v="4"/>
    <n v="1750683"/>
    <n v="0.1275"/>
    <n v="7"/>
    <s v="06-11-2024"/>
    <x v="18"/>
    <x v="1"/>
  </r>
  <r>
    <x v="19"/>
    <x v="17"/>
    <x v="2"/>
    <n v="1824555"/>
    <n v="8.6199999999999999E-2"/>
    <n v="7"/>
    <s v="03-05-2024"/>
    <x v="19"/>
    <x v="1"/>
  </r>
  <r>
    <x v="20"/>
    <x v="11"/>
    <x v="0"/>
    <n v="1481317"/>
    <n v="9.01E-2"/>
    <n v="5"/>
    <s v="20-11-2024"/>
    <x v="20"/>
    <x v="0"/>
  </r>
  <r>
    <x v="21"/>
    <x v="18"/>
    <x v="1"/>
    <n v="5800557"/>
    <n v="7.8E-2"/>
    <n v="10"/>
    <s v="29-10-2024"/>
    <x v="21"/>
    <x v="2"/>
  </r>
  <r>
    <x v="22"/>
    <x v="16"/>
    <x v="3"/>
    <n v="3998801"/>
    <n v="0.12709999999999999"/>
    <n v="12"/>
    <s v="30-06-2024"/>
    <x v="22"/>
    <x v="0"/>
  </r>
  <r>
    <x v="23"/>
    <x v="19"/>
    <x v="0"/>
    <n v="1100662"/>
    <n v="0.1106"/>
    <n v="7"/>
    <s v="06-03-2024"/>
    <x v="23"/>
    <x v="1"/>
  </r>
  <r>
    <x v="24"/>
    <x v="20"/>
    <x v="2"/>
    <n v="557791"/>
    <n v="8.6999999999999994E-2"/>
    <n v="7"/>
    <s v="12-09-2024"/>
    <x v="24"/>
    <x v="0"/>
  </r>
  <r>
    <x v="25"/>
    <x v="21"/>
    <x v="2"/>
    <n v="2353869"/>
    <n v="9.0500000000000011E-2"/>
    <n v="10"/>
    <s v="17-06-2024"/>
    <x v="25"/>
    <x v="0"/>
  </r>
  <r>
    <x v="26"/>
    <x v="22"/>
    <x v="2"/>
    <n v="214749"/>
    <n v="9.0999999999999998E-2"/>
    <n v="7"/>
    <s v="27-03-2025"/>
    <x v="26"/>
    <x v="0"/>
  </r>
  <r>
    <x v="27"/>
    <x v="23"/>
    <x v="2"/>
    <n v="2229928"/>
    <n v="9.1300000000000006E-2"/>
    <n v="10"/>
    <s v="05-12-2024"/>
    <x v="27"/>
    <x v="1"/>
  </r>
  <r>
    <x v="28"/>
    <x v="24"/>
    <x v="1"/>
    <n v="5060742"/>
    <n v="8.1300000000000011E-2"/>
    <n v="10"/>
    <s v="08-02-2024"/>
    <x v="19"/>
    <x v="0"/>
  </r>
  <r>
    <x v="29"/>
    <x v="25"/>
    <x v="2"/>
    <n v="2072778"/>
    <n v="7.9600000000000004E-2"/>
    <n v="15"/>
    <s v="09-06-2024"/>
    <x v="21"/>
    <x v="2"/>
  </r>
  <r>
    <x v="30"/>
    <x v="26"/>
    <x v="3"/>
    <n v="3496987"/>
    <n v="0.1278"/>
    <n v="10"/>
    <s v="13-07-2024"/>
    <x v="28"/>
    <x v="0"/>
  </r>
  <r>
    <x v="31"/>
    <x v="6"/>
    <x v="4"/>
    <n v="372779"/>
    <n v="0.11990000000000001"/>
    <n v="5"/>
    <s v="06-10-2024"/>
    <x v="29"/>
    <x v="1"/>
  </r>
  <r>
    <x v="32"/>
    <x v="27"/>
    <x v="4"/>
    <n v="1939186"/>
    <n v="0.12859999999999999"/>
    <n v="2"/>
    <s v="26-02-2025"/>
    <x v="30"/>
    <x v="2"/>
  </r>
  <r>
    <x v="33"/>
    <x v="28"/>
    <x v="0"/>
    <n v="574304"/>
    <n v="0.1012"/>
    <n v="7"/>
    <s v="01-01-2024"/>
    <x v="31"/>
    <x v="2"/>
  </r>
  <r>
    <x v="34"/>
    <x v="29"/>
    <x v="3"/>
    <n v="1030189"/>
    <n v="9.4399999999999998E-2"/>
    <n v="15"/>
    <s v="21-04-2025"/>
    <x v="32"/>
    <x v="0"/>
  </r>
  <r>
    <x v="35"/>
    <x v="27"/>
    <x v="4"/>
    <n v="1054913"/>
    <n v="0.1017"/>
    <n v="3"/>
    <s v="14-11-2024"/>
    <x v="33"/>
    <x v="1"/>
  </r>
  <r>
    <x v="36"/>
    <x v="3"/>
    <x v="0"/>
    <n v="645373"/>
    <n v="9.0399999999999994E-2"/>
    <n v="7"/>
    <s v="02-01-2024"/>
    <x v="34"/>
    <x v="2"/>
  </r>
  <r>
    <x v="37"/>
    <x v="8"/>
    <x v="0"/>
    <n v="990118"/>
    <n v="0.113"/>
    <n v="7"/>
    <s v="20-04-2025"/>
    <x v="35"/>
    <x v="2"/>
  </r>
  <r>
    <x v="38"/>
    <x v="30"/>
    <x v="4"/>
    <n v="1705205"/>
    <n v="0.13009999999999999"/>
    <n v="3"/>
    <s v="22-06-2024"/>
    <x v="36"/>
    <x v="1"/>
  </r>
  <r>
    <x v="39"/>
    <x v="31"/>
    <x v="4"/>
    <n v="1422626"/>
    <n v="0.106"/>
    <n v="5"/>
    <s v="26-02-2024"/>
    <x v="37"/>
    <x v="2"/>
  </r>
  <r>
    <x v="40"/>
    <x v="32"/>
    <x v="3"/>
    <n v="1716581"/>
    <n v="9.5600000000000004E-2"/>
    <n v="12"/>
    <s v="26-11-2024"/>
    <x v="38"/>
    <x v="2"/>
  </r>
  <r>
    <x v="41"/>
    <x v="21"/>
    <x v="1"/>
    <n v="7193832"/>
    <n v="8.8599999999999998E-2"/>
    <n v="25"/>
    <s v="14-01-2024"/>
    <x v="15"/>
    <x v="2"/>
  </r>
  <r>
    <x v="42"/>
    <x v="1"/>
    <x v="4"/>
    <n v="1891829"/>
    <n v="0.1192"/>
    <n v="3"/>
    <s v="29-12-2024"/>
    <x v="39"/>
    <x v="2"/>
  </r>
  <r>
    <x v="43"/>
    <x v="2"/>
    <x v="2"/>
    <n v="692143"/>
    <n v="8.8399999999999992E-2"/>
    <n v="5"/>
    <s v="22-08-2024"/>
    <x v="35"/>
    <x v="0"/>
  </r>
  <r>
    <x v="44"/>
    <x v="33"/>
    <x v="4"/>
    <n v="1364788"/>
    <n v="0.15140000000000001"/>
    <n v="5"/>
    <s v="16-03-2025"/>
    <x v="40"/>
    <x v="1"/>
  </r>
  <r>
    <x v="45"/>
    <x v="33"/>
    <x v="2"/>
    <n v="1257757"/>
    <n v="9.5899999999999999E-2"/>
    <n v="10"/>
    <s v="19-07-2024"/>
    <x v="41"/>
    <x v="1"/>
  </r>
  <r>
    <x v="46"/>
    <x v="34"/>
    <x v="4"/>
    <n v="1871397"/>
    <n v="0.1104"/>
    <n v="7"/>
    <s v="15-02-2025"/>
    <x v="42"/>
    <x v="0"/>
  </r>
  <r>
    <x v="47"/>
    <x v="35"/>
    <x v="0"/>
    <n v="1353951"/>
    <n v="8.4700000000000011E-2"/>
    <n v="5"/>
    <s v="29-01-2025"/>
    <x v="40"/>
    <x v="1"/>
  </r>
  <r>
    <x v="48"/>
    <x v="36"/>
    <x v="4"/>
    <n v="279435"/>
    <n v="0.1517"/>
    <n v="7"/>
    <s v="28-11-2024"/>
    <x v="43"/>
    <x v="0"/>
  </r>
  <r>
    <x v="49"/>
    <x v="37"/>
    <x v="3"/>
    <n v="2789483"/>
    <n v="9.1199999999999989E-2"/>
    <n v="5"/>
    <s v="24-03-2025"/>
    <x v="44"/>
    <x v="1"/>
  </r>
  <r>
    <x v="50"/>
    <x v="38"/>
    <x v="0"/>
    <n v="598021"/>
    <n v="0.10539999999999999"/>
    <n v="5"/>
    <s v="26-05-2024"/>
    <x v="45"/>
    <x v="1"/>
  </r>
  <r>
    <x v="51"/>
    <x v="21"/>
    <x v="2"/>
    <n v="660247"/>
    <n v="8.3699999999999997E-2"/>
    <n v="5"/>
    <s v="18-02-2024"/>
    <x v="39"/>
    <x v="0"/>
  </r>
  <r>
    <x v="52"/>
    <x v="12"/>
    <x v="3"/>
    <n v="3820097"/>
    <n v="0.1167"/>
    <n v="12"/>
    <s v="14-02-2024"/>
    <x v="11"/>
    <x v="0"/>
  </r>
  <r>
    <x v="53"/>
    <x v="29"/>
    <x v="3"/>
    <n v="1474176"/>
    <n v="0.13389999999999999"/>
    <n v="10"/>
    <s v="16-08-2024"/>
    <x v="46"/>
    <x v="1"/>
  </r>
  <r>
    <x v="54"/>
    <x v="39"/>
    <x v="1"/>
    <n v="4561779"/>
    <n v="8.7799999999999989E-2"/>
    <n v="25"/>
    <s v="29-11-2024"/>
    <x v="47"/>
    <x v="0"/>
  </r>
  <r>
    <x v="55"/>
    <x v="40"/>
    <x v="4"/>
    <n v="566437"/>
    <n v="0.1535"/>
    <n v="7"/>
    <s v="17-10-2024"/>
    <x v="48"/>
    <x v="0"/>
  </r>
  <r>
    <x v="56"/>
    <x v="41"/>
    <x v="2"/>
    <n v="1460051"/>
    <n v="0.1045"/>
    <n v="7"/>
    <s v="25-01-2024"/>
    <x v="49"/>
    <x v="0"/>
  </r>
  <r>
    <x v="57"/>
    <x v="33"/>
    <x v="0"/>
    <n v="1096846"/>
    <n v="0.1009"/>
    <n v="3"/>
    <s v="21-06-2024"/>
    <x v="50"/>
    <x v="2"/>
  </r>
  <r>
    <x v="58"/>
    <x v="14"/>
    <x v="4"/>
    <n v="1689707"/>
    <n v="0.1593"/>
    <n v="7"/>
    <s v="22-11-2024"/>
    <x v="23"/>
    <x v="2"/>
  </r>
  <r>
    <x v="59"/>
    <x v="42"/>
    <x v="4"/>
    <n v="1197077"/>
    <n v="0.1144"/>
    <n v="7"/>
    <s v="06-02-2025"/>
    <x v="51"/>
    <x v="1"/>
  </r>
  <r>
    <x v="60"/>
    <x v="43"/>
    <x v="4"/>
    <n v="1601068"/>
    <n v="0.1085"/>
    <n v="3"/>
    <s v="13-11-2024"/>
    <x v="52"/>
    <x v="1"/>
  </r>
  <r>
    <x v="61"/>
    <x v="44"/>
    <x v="2"/>
    <n v="295380"/>
    <n v="9.3900000000000011E-2"/>
    <n v="15"/>
    <s v="19-12-2024"/>
    <x v="4"/>
    <x v="1"/>
  </r>
  <r>
    <x v="62"/>
    <x v="45"/>
    <x v="1"/>
    <n v="3557668"/>
    <n v="8.4700000000000011E-2"/>
    <n v="30"/>
    <s v="21-03-2024"/>
    <x v="53"/>
    <x v="2"/>
  </r>
  <r>
    <x v="63"/>
    <x v="46"/>
    <x v="3"/>
    <n v="2362583"/>
    <n v="0.122"/>
    <n v="15"/>
    <s v="29-01-2025"/>
    <x v="51"/>
    <x v="0"/>
  </r>
  <r>
    <x v="64"/>
    <x v="47"/>
    <x v="2"/>
    <n v="1429847"/>
    <n v="8.5999999999999993E-2"/>
    <n v="7"/>
    <s v="07-09-2024"/>
    <x v="54"/>
    <x v="2"/>
  </r>
  <r>
    <x v="65"/>
    <x v="48"/>
    <x v="0"/>
    <n v="1444426"/>
    <n v="9.0700000000000003E-2"/>
    <n v="3"/>
    <s v="18-06-2024"/>
    <x v="55"/>
    <x v="0"/>
  </r>
  <r>
    <x v="66"/>
    <x v="31"/>
    <x v="0"/>
    <n v="545975"/>
    <n v="0.1128"/>
    <n v="5"/>
    <s v="20-04-2024"/>
    <x v="56"/>
    <x v="2"/>
  </r>
  <r>
    <x v="67"/>
    <x v="42"/>
    <x v="4"/>
    <n v="355759"/>
    <n v="0.1459"/>
    <n v="2"/>
    <s v="01-02-2025"/>
    <x v="57"/>
    <x v="1"/>
  </r>
  <r>
    <x v="68"/>
    <x v="5"/>
    <x v="0"/>
    <n v="1431104"/>
    <n v="8.9900000000000008E-2"/>
    <n v="5"/>
    <s v="26-03-2024"/>
    <x v="10"/>
    <x v="0"/>
  </r>
  <r>
    <x v="69"/>
    <x v="16"/>
    <x v="1"/>
    <n v="7180118"/>
    <n v="7.2300000000000003E-2"/>
    <n v="30"/>
    <s v="28-10-2024"/>
    <x v="58"/>
    <x v="2"/>
  </r>
  <r>
    <x v="70"/>
    <x v="4"/>
    <x v="4"/>
    <n v="224436"/>
    <n v="0.1172"/>
    <n v="7"/>
    <s v="23-12-2024"/>
    <x v="59"/>
    <x v="2"/>
  </r>
  <r>
    <x v="71"/>
    <x v="29"/>
    <x v="3"/>
    <n v="2084595"/>
    <n v="9.1600000000000001E-2"/>
    <n v="5"/>
    <s v="10-03-2025"/>
    <x v="60"/>
    <x v="1"/>
  </r>
  <r>
    <x v="72"/>
    <x v="6"/>
    <x v="3"/>
    <n v="4012017"/>
    <n v="0.122"/>
    <n v="7"/>
    <s v="07-12-2024"/>
    <x v="61"/>
    <x v="0"/>
  </r>
  <r>
    <x v="73"/>
    <x v="37"/>
    <x v="4"/>
    <n v="618757"/>
    <n v="0.1193"/>
    <n v="3"/>
    <s v="25-11-2024"/>
    <x v="62"/>
    <x v="0"/>
  </r>
  <r>
    <x v="74"/>
    <x v="49"/>
    <x v="2"/>
    <n v="2180325"/>
    <n v="8.6400000000000005E-2"/>
    <n v="7"/>
    <s v="02-03-2024"/>
    <x v="63"/>
    <x v="1"/>
  </r>
  <r>
    <x v="75"/>
    <x v="50"/>
    <x v="0"/>
    <n v="1202920"/>
    <n v="9.1700000000000004E-2"/>
    <n v="7"/>
    <s v="03-08-2024"/>
    <x v="64"/>
    <x v="2"/>
  </r>
  <r>
    <x v="76"/>
    <x v="20"/>
    <x v="1"/>
    <n v="3073726"/>
    <n v="9.0899999999999995E-2"/>
    <n v="20"/>
    <s v="05-05-2024"/>
    <x v="27"/>
    <x v="2"/>
  </r>
  <r>
    <x v="77"/>
    <x v="23"/>
    <x v="1"/>
    <n v="7190281"/>
    <n v="9.1600000000000001E-2"/>
    <n v="20"/>
    <s v="01-10-2024"/>
    <x v="65"/>
    <x v="0"/>
  </r>
  <r>
    <x v="78"/>
    <x v="51"/>
    <x v="0"/>
    <n v="547194"/>
    <n v="0.1048"/>
    <n v="5"/>
    <s v="13-09-2024"/>
    <x v="66"/>
    <x v="2"/>
  </r>
  <r>
    <x v="79"/>
    <x v="52"/>
    <x v="4"/>
    <n v="417548"/>
    <n v="0.1041"/>
    <n v="5"/>
    <s v="06-03-2025"/>
    <x v="67"/>
    <x v="2"/>
  </r>
  <r>
    <x v="80"/>
    <x v="7"/>
    <x v="2"/>
    <n v="1883850"/>
    <n v="0.1018"/>
    <n v="7"/>
    <s v="23-10-2024"/>
    <x v="37"/>
    <x v="0"/>
  </r>
  <r>
    <x v="81"/>
    <x v="11"/>
    <x v="1"/>
    <n v="5065013"/>
    <n v="8.8000000000000009E-2"/>
    <n v="15"/>
    <s v="23-10-2024"/>
    <x v="68"/>
    <x v="2"/>
  </r>
  <r>
    <x v="82"/>
    <x v="10"/>
    <x v="2"/>
    <n v="2287282"/>
    <n v="7.7800000000000008E-2"/>
    <n v="15"/>
    <s v="24-02-2025"/>
    <x v="43"/>
    <x v="1"/>
  </r>
  <r>
    <x v="83"/>
    <x v="53"/>
    <x v="2"/>
    <n v="2480785"/>
    <n v="9.8699999999999996E-2"/>
    <n v="7"/>
    <s v="08-01-2024"/>
    <x v="68"/>
    <x v="2"/>
  </r>
  <r>
    <x v="84"/>
    <x v="54"/>
    <x v="1"/>
    <n v="5031100"/>
    <n v="9.4399999999999998E-2"/>
    <n v="20"/>
    <s v="10-11-2024"/>
    <x v="69"/>
    <x v="1"/>
  </r>
  <r>
    <x v="85"/>
    <x v="55"/>
    <x v="4"/>
    <n v="240558"/>
    <n v="0.13189999999999999"/>
    <n v="2"/>
    <s v="25-12-2024"/>
    <x v="19"/>
    <x v="0"/>
  </r>
  <r>
    <x v="86"/>
    <x v="6"/>
    <x v="0"/>
    <n v="1074983"/>
    <n v="9.9299999999999999E-2"/>
    <n v="3"/>
    <s v="09-01-2024"/>
    <x v="70"/>
    <x v="2"/>
  </r>
  <r>
    <x v="87"/>
    <x v="6"/>
    <x v="2"/>
    <n v="477307"/>
    <n v="9.0899999999999995E-2"/>
    <n v="7"/>
    <s v="09-05-2024"/>
    <x v="71"/>
    <x v="0"/>
  </r>
  <r>
    <x v="88"/>
    <x v="30"/>
    <x v="3"/>
    <n v="1033308"/>
    <n v="0.13800000000000001"/>
    <n v="5"/>
    <s v="18-01-2025"/>
    <x v="72"/>
    <x v="1"/>
  </r>
  <r>
    <x v="89"/>
    <x v="56"/>
    <x v="0"/>
    <n v="1301959"/>
    <n v="0.1113"/>
    <n v="3"/>
    <s v="21-09-2024"/>
    <x v="73"/>
    <x v="2"/>
  </r>
  <r>
    <x v="90"/>
    <x v="57"/>
    <x v="1"/>
    <n v="2160788"/>
    <n v="8.3000000000000004E-2"/>
    <n v="15"/>
    <s v="14-02-2024"/>
    <x v="74"/>
    <x v="0"/>
  </r>
  <r>
    <x v="91"/>
    <x v="16"/>
    <x v="0"/>
    <n v="1361160"/>
    <n v="8.9399999999999993E-2"/>
    <n v="3"/>
    <s v="18-04-2025"/>
    <x v="75"/>
    <x v="2"/>
  </r>
  <r>
    <x v="92"/>
    <x v="54"/>
    <x v="4"/>
    <n v="890649"/>
    <n v="0.15290000000000001"/>
    <n v="7"/>
    <s v="03-11-2024"/>
    <x v="76"/>
    <x v="2"/>
  </r>
  <r>
    <x v="93"/>
    <x v="58"/>
    <x v="1"/>
    <n v="4933983"/>
    <n v="8.1500000000000003E-2"/>
    <n v="30"/>
    <s v="26-02-2025"/>
    <x v="48"/>
    <x v="2"/>
  </r>
  <r>
    <x v="94"/>
    <x v="44"/>
    <x v="4"/>
    <n v="1460916"/>
    <n v="0.1109"/>
    <n v="3"/>
    <s v="10-11-2024"/>
    <x v="2"/>
    <x v="0"/>
  </r>
  <r>
    <x v="95"/>
    <x v="59"/>
    <x v="2"/>
    <n v="2159959"/>
    <n v="8.8200000000000001E-2"/>
    <n v="15"/>
    <s v="25-02-2025"/>
    <x v="77"/>
    <x v="1"/>
  </r>
  <r>
    <x v="96"/>
    <x v="60"/>
    <x v="4"/>
    <n v="1736487"/>
    <n v="0.14899999999999999"/>
    <n v="2"/>
    <s v="21-11-2024"/>
    <x v="31"/>
    <x v="1"/>
  </r>
  <r>
    <x v="97"/>
    <x v="57"/>
    <x v="2"/>
    <n v="377761"/>
    <n v="8.7799999999999989E-2"/>
    <n v="15"/>
    <s v="23-10-2024"/>
    <x v="78"/>
    <x v="0"/>
  </r>
  <r>
    <x v="98"/>
    <x v="28"/>
    <x v="0"/>
    <n v="344254"/>
    <n v="0.1147"/>
    <n v="7"/>
    <s v="03-09-2024"/>
    <x v="43"/>
    <x v="0"/>
  </r>
  <r>
    <x v="99"/>
    <x v="61"/>
    <x v="1"/>
    <n v="5477923"/>
    <n v="8.8599999999999998E-2"/>
    <n v="15"/>
    <s v="05-05-2025"/>
    <x v="7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8F73E-167C-4B10-A7E6-0060C33FC8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6" firstHeaderRow="1" firstDataRow="1" firstDataCol="1" rowPageCount="1" colPageCount="1"/>
  <pivotFields count="9">
    <pivotField showAll="0"/>
    <pivotField axis="axisRow" showAll="0">
      <items count="63">
        <item x="25"/>
        <item x="61"/>
        <item x="30"/>
        <item x="16"/>
        <item x="56"/>
        <item x="49"/>
        <item x="48"/>
        <item x="27"/>
        <item x="12"/>
        <item x="26"/>
        <item x="11"/>
        <item x="58"/>
        <item x="40"/>
        <item x="7"/>
        <item x="39"/>
        <item x="15"/>
        <item x="20"/>
        <item x="55"/>
        <item x="18"/>
        <item x="47"/>
        <item x="24"/>
        <item x="37"/>
        <item x="8"/>
        <item x="29"/>
        <item x="54"/>
        <item x="9"/>
        <item x="52"/>
        <item x="53"/>
        <item x="59"/>
        <item x="34"/>
        <item x="46"/>
        <item x="41"/>
        <item x="32"/>
        <item x="3"/>
        <item x="10"/>
        <item x="42"/>
        <item x="5"/>
        <item x="23"/>
        <item x="38"/>
        <item x="43"/>
        <item x="22"/>
        <item x="35"/>
        <item x="0"/>
        <item x="33"/>
        <item x="31"/>
        <item x="45"/>
        <item x="2"/>
        <item x="51"/>
        <item x="21"/>
        <item x="28"/>
        <item x="57"/>
        <item x="6"/>
        <item x="14"/>
        <item x="50"/>
        <item x="17"/>
        <item x="44"/>
        <item x="36"/>
        <item x="1"/>
        <item x="4"/>
        <item x="60"/>
        <item x="13"/>
        <item x="19"/>
        <item t="default"/>
      </items>
    </pivotField>
    <pivotField showAll="0">
      <items count="6">
        <item x="3"/>
        <item x="0"/>
        <item x="2"/>
        <item x="1"/>
        <item x="4"/>
        <item t="default"/>
      </items>
    </pivotField>
    <pivotField numFmtId="164" showAll="0"/>
    <pivotField numFmtId="10" showAll="0"/>
    <pivotField showAll="0"/>
    <pivotField showAll="0"/>
    <pivotField dataField="1" showAll="0"/>
    <pivotField axis="axisPage" showAll="0">
      <items count="4">
        <item x="0"/>
        <item x="1"/>
        <item x="2"/>
        <item t="default"/>
      </items>
    </pivotField>
  </pivotFields>
  <rowFields count="1">
    <field x="1"/>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pageFields count="1">
    <pageField fld="8" hier="-1"/>
  </pageFields>
  <dataFields count="1">
    <dataField name="Sum of Credit_Score" fld="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E9FFFA-DAB1-4D1A-BC02-551C86E1EC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9" firstHeaderRow="1" firstDataRow="1" firstDataCol="1"/>
  <pivotFields count="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3"/>
        <item x="0"/>
        <item x="2"/>
        <item x="1"/>
        <item x="4"/>
        <item t="default"/>
      </items>
    </pivotField>
    <pivotField numFmtId="164" showAll="0"/>
    <pivotField numFmtId="10"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Loan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C8475-6D52-4A8A-A296-C6023713E2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showAll="0"/>
    <pivotField showAll="0"/>
    <pivotField axis="axisRow" showAll="0">
      <items count="6">
        <item x="3"/>
        <item x="0"/>
        <item x="2"/>
        <item x="1"/>
        <item x="4"/>
        <item t="default"/>
      </items>
    </pivotField>
    <pivotField dataField="1" numFmtId="164" showAll="0"/>
    <pivotField numFmtId="10"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Loan_Am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384B5B-7FC9-41B6-BE6B-59200BFA97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numFmtId="164" showAll="0"/>
    <pivotField numFmtId="10" showAll="0"/>
    <pivotField showAll="0"/>
    <pivotField showAll="0"/>
    <pivotField showAll="0"/>
    <pivotField axis="axisRow" showAll="0">
      <items count="4">
        <item x="0"/>
        <item x="1"/>
        <item x="2"/>
        <item t="default"/>
      </items>
    </pivotField>
  </pivotFields>
  <rowFields count="1">
    <field x="8"/>
  </rowFields>
  <rowItems count="4">
    <i>
      <x/>
    </i>
    <i>
      <x v="1"/>
    </i>
    <i>
      <x v="2"/>
    </i>
    <i t="grand">
      <x/>
    </i>
  </rowItems>
  <colItems count="1">
    <i/>
  </colItems>
  <dataFields count="1">
    <dataField name="Count of Loan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7ECC5D-7C91-4569-9D00-9F66FC028A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D5" firstHeaderRow="1" firstDataRow="2" firstDataCol="1"/>
  <pivotFields count="9">
    <pivotField showAll="0"/>
    <pivotField showAll="0"/>
    <pivotField showAll="0">
      <items count="6">
        <item x="3"/>
        <item x="0"/>
        <item x="2"/>
        <item x="1"/>
        <item x="4"/>
        <item t="default"/>
      </items>
    </pivotField>
    <pivotField dataField="1" numFmtId="164" showAll="0"/>
    <pivotField numFmtId="10" showAll="0"/>
    <pivotField showAll="0"/>
    <pivotField showAll="0"/>
    <pivotField axis="axisCol" showAll="0">
      <items count="81">
        <item x="56"/>
        <item x="38"/>
        <item x="54"/>
        <item x="60"/>
        <item x="4"/>
        <item x="50"/>
        <item x="17"/>
        <item x="41"/>
        <item x="9"/>
        <item x="32"/>
        <item x="19"/>
        <item x="46"/>
        <item x="30"/>
        <item x="39"/>
        <item x="13"/>
        <item x="43"/>
        <item x="12"/>
        <item x="44"/>
        <item x="22"/>
        <item x="31"/>
        <item x="8"/>
        <item x="71"/>
        <item x="55"/>
        <item x="64"/>
        <item x="49"/>
        <item x="42"/>
        <item x="57"/>
        <item x="70"/>
        <item x="68"/>
        <item x="37"/>
        <item x="27"/>
        <item x="6"/>
        <item x="24"/>
        <item x="76"/>
        <item x="40"/>
        <item x="33"/>
        <item x="58"/>
        <item x="75"/>
        <item x="5"/>
        <item x="48"/>
        <item x="0"/>
        <item x="63"/>
        <item x="35"/>
        <item x="51"/>
        <item x="73"/>
        <item x="79"/>
        <item x="66"/>
        <item x="2"/>
        <item x="72"/>
        <item x="16"/>
        <item x="7"/>
        <item x="1"/>
        <item x="23"/>
        <item x="29"/>
        <item x="18"/>
        <item x="62"/>
        <item x="74"/>
        <item x="36"/>
        <item x="28"/>
        <item x="59"/>
        <item x="11"/>
        <item x="69"/>
        <item x="10"/>
        <item x="65"/>
        <item x="67"/>
        <item x="78"/>
        <item x="25"/>
        <item x="45"/>
        <item x="20"/>
        <item x="61"/>
        <item x="34"/>
        <item x="52"/>
        <item x="14"/>
        <item x="47"/>
        <item x="21"/>
        <item x="15"/>
        <item x="3"/>
        <item x="53"/>
        <item x="26"/>
        <item x="77"/>
        <item t="default"/>
      </items>
    </pivotField>
    <pivotField showAll="0"/>
  </pivotFields>
  <rowItems count="1">
    <i/>
  </rowItems>
  <colFields count="1">
    <field x="7"/>
  </colFields>
  <col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colItems>
  <dataFields count="1">
    <dataField name="Sum of Loan_Amount" fld="3" baseField="0" baseItem="0" numFmtId="164"/>
  </dataFields>
  <chartFormats count="24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7" count="1" selected="0">
            <x v="1"/>
          </reference>
        </references>
      </pivotArea>
    </chartFormat>
    <chartFormat chart="4" format="5" series="1">
      <pivotArea type="data" outline="0" fieldPosition="0">
        <references count="2">
          <reference field="4294967294" count="1" selected="0">
            <x v="0"/>
          </reference>
          <reference field="7" count="1" selected="0">
            <x v="2"/>
          </reference>
        </references>
      </pivotArea>
    </chartFormat>
    <chartFormat chart="4" format="6" series="1">
      <pivotArea type="data" outline="0" fieldPosition="0">
        <references count="2">
          <reference field="4294967294" count="1" selected="0">
            <x v="0"/>
          </reference>
          <reference field="7" count="1" selected="0">
            <x v="3"/>
          </reference>
        </references>
      </pivotArea>
    </chartFormat>
    <chartFormat chart="4" format="7" series="1">
      <pivotArea type="data" outline="0" fieldPosition="0">
        <references count="2">
          <reference field="4294967294" count="1" selected="0">
            <x v="0"/>
          </reference>
          <reference field="7" count="1" selected="0">
            <x v="4"/>
          </reference>
        </references>
      </pivotArea>
    </chartFormat>
    <chartFormat chart="4" format="8" series="1">
      <pivotArea type="data" outline="0" fieldPosition="0">
        <references count="2">
          <reference field="4294967294" count="1" selected="0">
            <x v="0"/>
          </reference>
          <reference field="7" count="1" selected="0">
            <x v="5"/>
          </reference>
        </references>
      </pivotArea>
    </chartFormat>
    <chartFormat chart="4" format="9" series="1">
      <pivotArea type="data" outline="0" fieldPosition="0">
        <references count="2">
          <reference field="4294967294" count="1" selected="0">
            <x v="0"/>
          </reference>
          <reference field="7" count="1" selected="0">
            <x v="6"/>
          </reference>
        </references>
      </pivotArea>
    </chartFormat>
    <chartFormat chart="4" format="10" series="1">
      <pivotArea type="data" outline="0" fieldPosition="0">
        <references count="2">
          <reference field="4294967294" count="1" selected="0">
            <x v="0"/>
          </reference>
          <reference field="7" count="1" selected="0">
            <x v="7"/>
          </reference>
        </references>
      </pivotArea>
    </chartFormat>
    <chartFormat chart="4" format="11" series="1">
      <pivotArea type="data" outline="0" fieldPosition="0">
        <references count="2">
          <reference field="4294967294" count="1" selected="0">
            <x v="0"/>
          </reference>
          <reference field="7" count="1" selected="0">
            <x v="8"/>
          </reference>
        </references>
      </pivotArea>
    </chartFormat>
    <chartFormat chart="4" format="12" series="1">
      <pivotArea type="data" outline="0" fieldPosition="0">
        <references count="2">
          <reference field="4294967294" count="1" selected="0">
            <x v="0"/>
          </reference>
          <reference field="7" count="1" selected="0">
            <x v="9"/>
          </reference>
        </references>
      </pivotArea>
    </chartFormat>
    <chartFormat chart="4" format="13" series="1">
      <pivotArea type="data" outline="0" fieldPosition="0">
        <references count="2">
          <reference field="4294967294" count="1" selected="0">
            <x v="0"/>
          </reference>
          <reference field="7" count="1" selected="0">
            <x v="10"/>
          </reference>
        </references>
      </pivotArea>
    </chartFormat>
    <chartFormat chart="4" format="14" series="1">
      <pivotArea type="data" outline="0" fieldPosition="0">
        <references count="2">
          <reference field="4294967294" count="1" selected="0">
            <x v="0"/>
          </reference>
          <reference field="7" count="1" selected="0">
            <x v="11"/>
          </reference>
        </references>
      </pivotArea>
    </chartFormat>
    <chartFormat chart="4" format="15" series="1">
      <pivotArea type="data" outline="0" fieldPosition="0">
        <references count="2">
          <reference field="4294967294" count="1" selected="0">
            <x v="0"/>
          </reference>
          <reference field="7" count="1" selected="0">
            <x v="12"/>
          </reference>
        </references>
      </pivotArea>
    </chartFormat>
    <chartFormat chart="4" format="16" series="1">
      <pivotArea type="data" outline="0" fieldPosition="0">
        <references count="2">
          <reference field="4294967294" count="1" selected="0">
            <x v="0"/>
          </reference>
          <reference field="7" count="1" selected="0">
            <x v="13"/>
          </reference>
        </references>
      </pivotArea>
    </chartFormat>
    <chartFormat chart="4" format="17" series="1">
      <pivotArea type="data" outline="0" fieldPosition="0">
        <references count="2">
          <reference field="4294967294" count="1" selected="0">
            <x v="0"/>
          </reference>
          <reference field="7" count="1" selected="0">
            <x v="14"/>
          </reference>
        </references>
      </pivotArea>
    </chartFormat>
    <chartFormat chart="4" format="18" series="1">
      <pivotArea type="data" outline="0" fieldPosition="0">
        <references count="2">
          <reference field="4294967294" count="1" selected="0">
            <x v="0"/>
          </reference>
          <reference field="7" count="1" selected="0">
            <x v="15"/>
          </reference>
        </references>
      </pivotArea>
    </chartFormat>
    <chartFormat chart="4" format="19" series="1">
      <pivotArea type="data" outline="0" fieldPosition="0">
        <references count="2">
          <reference field="4294967294" count="1" selected="0">
            <x v="0"/>
          </reference>
          <reference field="7" count="1" selected="0">
            <x v="16"/>
          </reference>
        </references>
      </pivotArea>
    </chartFormat>
    <chartFormat chart="4" format="20" series="1">
      <pivotArea type="data" outline="0" fieldPosition="0">
        <references count="2">
          <reference field="4294967294" count="1" selected="0">
            <x v="0"/>
          </reference>
          <reference field="7" count="1" selected="0">
            <x v="17"/>
          </reference>
        </references>
      </pivotArea>
    </chartFormat>
    <chartFormat chart="4" format="21" series="1">
      <pivotArea type="data" outline="0" fieldPosition="0">
        <references count="2">
          <reference field="4294967294" count="1" selected="0">
            <x v="0"/>
          </reference>
          <reference field="7" count="1" selected="0">
            <x v="18"/>
          </reference>
        </references>
      </pivotArea>
    </chartFormat>
    <chartFormat chart="4" format="22" series="1">
      <pivotArea type="data" outline="0" fieldPosition="0">
        <references count="2">
          <reference field="4294967294" count="1" selected="0">
            <x v="0"/>
          </reference>
          <reference field="7" count="1" selected="0">
            <x v="19"/>
          </reference>
        </references>
      </pivotArea>
    </chartFormat>
    <chartFormat chart="4" format="23" series="1">
      <pivotArea type="data" outline="0" fieldPosition="0">
        <references count="2">
          <reference field="4294967294" count="1" selected="0">
            <x v="0"/>
          </reference>
          <reference field="7" count="1" selected="0">
            <x v="20"/>
          </reference>
        </references>
      </pivotArea>
    </chartFormat>
    <chartFormat chart="4" format="24" series="1">
      <pivotArea type="data" outline="0" fieldPosition="0">
        <references count="2">
          <reference field="4294967294" count="1" selected="0">
            <x v="0"/>
          </reference>
          <reference field="7" count="1" selected="0">
            <x v="21"/>
          </reference>
        </references>
      </pivotArea>
    </chartFormat>
    <chartFormat chart="4" format="25" series="1">
      <pivotArea type="data" outline="0" fieldPosition="0">
        <references count="2">
          <reference field="4294967294" count="1" selected="0">
            <x v="0"/>
          </reference>
          <reference field="7" count="1" selected="0">
            <x v="22"/>
          </reference>
        </references>
      </pivotArea>
    </chartFormat>
    <chartFormat chart="4" format="26" series="1">
      <pivotArea type="data" outline="0" fieldPosition="0">
        <references count="2">
          <reference field="4294967294" count="1" selected="0">
            <x v="0"/>
          </reference>
          <reference field="7" count="1" selected="0">
            <x v="23"/>
          </reference>
        </references>
      </pivotArea>
    </chartFormat>
    <chartFormat chart="4" format="27" series="1">
      <pivotArea type="data" outline="0" fieldPosition="0">
        <references count="2">
          <reference field="4294967294" count="1" selected="0">
            <x v="0"/>
          </reference>
          <reference field="7" count="1" selected="0">
            <x v="24"/>
          </reference>
        </references>
      </pivotArea>
    </chartFormat>
    <chartFormat chart="4" format="28" series="1">
      <pivotArea type="data" outline="0" fieldPosition="0">
        <references count="2">
          <reference field="4294967294" count="1" selected="0">
            <x v="0"/>
          </reference>
          <reference field="7" count="1" selected="0">
            <x v="25"/>
          </reference>
        </references>
      </pivotArea>
    </chartFormat>
    <chartFormat chart="4" format="29" series="1">
      <pivotArea type="data" outline="0" fieldPosition="0">
        <references count="2">
          <reference field="4294967294" count="1" selected="0">
            <x v="0"/>
          </reference>
          <reference field="7" count="1" selected="0">
            <x v="26"/>
          </reference>
        </references>
      </pivotArea>
    </chartFormat>
    <chartFormat chart="4" format="30" series="1">
      <pivotArea type="data" outline="0" fieldPosition="0">
        <references count="2">
          <reference field="4294967294" count="1" selected="0">
            <x v="0"/>
          </reference>
          <reference field="7" count="1" selected="0">
            <x v="27"/>
          </reference>
        </references>
      </pivotArea>
    </chartFormat>
    <chartFormat chart="4" format="31" series="1">
      <pivotArea type="data" outline="0" fieldPosition="0">
        <references count="2">
          <reference field="4294967294" count="1" selected="0">
            <x v="0"/>
          </reference>
          <reference field="7" count="1" selected="0">
            <x v="28"/>
          </reference>
        </references>
      </pivotArea>
    </chartFormat>
    <chartFormat chart="4" format="32" series="1">
      <pivotArea type="data" outline="0" fieldPosition="0">
        <references count="2">
          <reference field="4294967294" count="1" selected="0">
            <x v="0"/>
          </reference>
          <reference field="7" count="1" selected="0">
            <x v="29"/>
          </reference>
        </references>
      </pivotArea>
    </chartFormat>
    <chartFormat chart="4" format="33" series="1">
      <pivotArea type="data" outline="0" fieldPosition="0">
        <references count="2">
          <reference field="4294967294" count="1" selected="0">
            <x v="0"/>
          </reference>
          <reference field="7" count="1" selected="0">
            <x v="30"/>
          </reference>
        </references>
      </pivotArea>
    </chartFormat>
    <chartFormat chart="4" format="34" series="1">
      <pivotArea type="data" outline="0" fieldPosition="0">
        <references count="2">
          <reference field="4294967294" count="1" selected="0">
            <x v="0"/>
          </reference>
          <reference field="7" count="1" selected="0">
            <x v="31"/>
          </reference>
        </references>
      </pivotArea>
    </chartFormat>
    <chartFormat chart="4" format="35" series="1">
      <pivotArea type="data" outline="0" fieldPosition="0">
        <references count="2">
          <reference field="4294967294" count="1" selected="0">
            <x v="0"/>
          </reference>
          <reference field="7" count="1" selected="0">
            <x v="32"/>
          </reference>
        </references>
      </pivotArea>
    </chartFormat>
    <chartFormat chart="4" format="36" series="1">
      <pivotArea type="data" outline="0" fieldPosition="0">
        <references count="2">
          <reference field="4294967294" count="1" selected="0">
            <x v="0"/>
          </reference>
          <reference field="7" count="1" selected="0">
            <x v="33"/>
          </reference>
        </references>
      </pivotArea>
    </chartFormat>
    <chartFormat chart="4" format="37" series="1">
      <pivotArea type="data" outline="0" fieldPosition="0">
        <references count="2">
          <reference field="4294967294" count="1" selected="0">
            <x v="0"/>
          </reference>
          <reference field="7" count="1" selected="0">
            <x v="34"/>
          </reference>
        </references>
      </pivotArea>
    </chartFormat>
    <chartFormat chart="4" format="38" series="1">
      <pivotArea type="data" outline="0" fieldPosition="0">
        <references count="2">
          <reference field="4294967294" count="1" selected="0">
            <x v="0"/>
          </reference>
          <reference field="7" count="1" selected="0">
            <x v="35"/>
          </reference>
        </references>
      </pivotArea>
    </chartFormat>
    <chartFormat chart="4" format="39" series="1">
      <pivotArea type="data" outline="0" fieldPosition="0">
        <references count="2">
          <reference field="4294967294" count="1" selected="0">
            <x v="0"/>
          </reference>
          <reference field="7" count="1" selected="0">
            <x v="36"/>
          </reference>
        </references>
      </pivotArea>
    </chartFormat>
    <chartFormat chart="4" format="40" series="1">
      <pivotArea type="data" outline="0" fieldPosition="0">
        <references count="2">
          <reference field="4294967294" count="1" selected="0">
            <x v="0"/>
          </reference>
          <reference field="7" count="1" selected="0">
            <x v="37"/>
          </reference>
        </references>
      </pivotArea>
    </chartFormat>
    <chartFormat chart="4" format="41" series="1">
      <pivotArea type="data" outline="0" fieldPosition="0">
        <references count="2">
          <reference field="4294967294" count="1" selected="0">
            <x v="0"/>
          </reference>
          <reference field="7" count="1" selected="0">
            <x v="38"/>
          </reference>
        </references>
      </pivotArea>
    </chartFormat>
    <chartFormat chart="4" format="42" series="1">
      <pivotArea type="data" outline="0" fieldPosition="0">
        <references count="2">
          <reference field="4294967294" count="1" selected="0">
            <x v="0"/>
          </reference>
          <reference field="7" count="1" selected="0">
            <x v="39"/>
          </reference>
        </references>
      </pivotArea>
    </chartFormat>
    <chartFormat chart="4" format="43" series="1">
      <pivotArea type="data" outline="0" fieldPosition="0">
        <references count="2">
          <reference field="4294967294" count="1" selected="0">
            <x v="0"/>
          </reference>
          <reference field="7" count="1" selected="0">
            <x v="40"/>
          </reference>
        </references>
      </pivotArea>
    </chartFormat>
    <chartFormat chart="4" format="44" series="1">
      <pivotArea type="data" outline="0" fieldPosition="0">
        <references count="2">
          <reference field="4294967294" count="1" selected="0">
            <x v="0"/>
          </reference>
          <reference field="7" count="1" selected="0">
            <x v="41"/>
          </reference>
        </references>
      </pivotArea>
    </chartFormat>
    <chartFormat chart="4" format="45" series="1">
      <pivotArea type="data" outline="0" fieldPosition="0">
        <references count="2">
          <reference field="4294967294" count="1" selected="0">
            <x v="0"/>
          </reference>
          <reference field="7" count="1" selected="0">
            <x v="42"/>
          </reference>
        </references>
      </pivotArea>
    </chartFormat>
    <chartFormat chart="4" format="46" series="1">
      <pivotArea type="data" outline="0" fieldPosition="0">
        <references count="2">
          <reference field="4294967294" count="1" selected="0">
            <x v="0"/>
          </reference>
          <reference field="7" count="1" selected="0">
            <x v="43"/>
          </reference>
        </references>
      </pivotArea>
    </chartFormat>
    <chartFormat chart="4" format="47" series="1">
      <pivotArea type="data" outline="0" fieldPosition="0">
        <references count="2">
          <reference field="4294967294" count="1" selected="0">
            <x v="0"/>
          </reference>
          <reference field="7" count="1" selected="0">
            <x v="44"/>
          </reference>
        </references>
      </pivotArea>
    </chartFormat>
    <chartFormat chart="4" format="48" series="1">
      <pivotArea type="data" outline="0" fieldPosition="0">
        <references count="2">
          <reference field="4294967294" count="1" selected="0">
            <x v="0"/>
          </reference>
          <reference field="7" count="1" selected="0">
            <x v="45"/>
          </reference>
        </references>
      </pivotArea>
    </chartFormat>
    <chartFormat chart="4" format="49" series="1">
      <pivotArea type="data" outline="0" fieldPosition="0">
        <references count="2">
          <reference field="4294967294" count="1" selected="0">
            <x v="0"/>
          </reference>
          <reference field="7" count="1" selected="0">
            <x v="46"/>
          </reference>
        </references>
      </pivotArea>
    </chartFormat>
    <chartFormat chart="4" format="50" series="1">
      <pivotArea type="data" outline="0" fieldPosition="0">
        <references count="2">
          <reference field="4294967294" count="1" selected="0">
            <x v="0"/>
          </reference>
          <reference field="7" count="1" selected="0">
            <x v="47"/>
          </reference>
        </references>
      </pivotArea>
    </chartFormat>
    <chartFormat chart="4" format="51" series="1">
      <pivotArea type="data" outline="0" fieldPosition="0">
        <references count="2">
          <reference field="4294967294" count="1" selected="0">
            <x v="0"/>
          </reference>
          <reference field="7" count="1" selected="0">
            <x v="48"/>
          </reference>
        </references>
      </pivotArea>
    </chartFormat>
    <chartFormat chart="4" format="52" series="1">
      <pivotArea type="data" outline="0" fieldPosition="0">
        <references count="2">
          <reference field="4294967294" count="1" selected="0">
            <x v="0"/>
          </reference>
          <reference field="7" count="1" selected="0">
            <x v="49"/>
          </reference>
        </references>
      </pivotArea>
    </chartFormat>
    <chartFormat chart="4" format="53" series="1">
      <pivotArea type="data" outline="0" fieldPosition="0">
        <references count="2">
          <reference field="4294967294" count="1" selected="0">
            <x v="0"/>
          </reference>
          <reference field="7" count="1" selected="0">
            <x v="50"/>
          </reference>
        </references>
      </pivotArea>
    </chartFormat>
    <chartFormat chart="4" format="54" series="1">
      <pivotArea type="data" outline="0" fieldPosition="0">
        <references count="2">
          <reference field="4294967294" count="1" selected="0">
            <x v="0"/>
          </reference>
          <reference field="7" count="1" selected="0">
            <x v="51"/>
          </reference>
        </references>
      </pivotArea>
    </chartFormat>
    <chartFormat chart="4" format="55" series="1">
      <pivotArea type="data" outline="0" fieldPosition="0">
        <references count="2">
          <reference field="4294967294" count="1" selected="0">
            <x v="0"/>
          </reference>
          <reference field="7" count="1" selected="0">
            <x v="52"/>
          </reference>
        </references>
      </pivotArea>
    </chartFormat>
    <chartFormat chart="4" format="56" series="1">
      <pivotArea type="data" outline="0" fieldPosition="0">
        <references count="2">
          <reference field="4294967294" count="1" selected="0">
            <x v="0"/>
          </reference>
          <reference field="7" count="1" selected="0">
            <x v="53"/>
          </reference>
        </references>
      </pivotArea>
    </chartFormat>
    <chartFormat chart="4" format="57" series="1">
      <pivotArea type="data" outline="0" fieldPosition="0">
        <references count="2">
          <reference field="4294967294" count="1" selected="0">
            <x v="0"/>
          </reference>
          <reference field="7" count="1" selected="0">
            <x v="54"/>
          </reference>
        </references>
      </pivotArea>
    </chartFormat>
    <chartFormat chart="4" format="58" series="1">
      <pivotArea type="data" outline="0" fieldPosition="0">
        <references count="2">
          <reference field="4294967294" count="1" selected="0">
            <x v="0"/>
          </reference>
          <reference field="7" count="1" selected="0">
            <x v="55"/>
          </reference>
        </references>
      </pivotArea>
    </chartFormat>
    <chartFormat chart="4" format="59" series="1">
      <pivotArea type="data" outline="0" fieldPosition="0">
        <references count="2">
          <reference field="4294967294" count="1" selected="0">
            <x v="0"/>
          </reference>
          <reference field="7" count="1" selected="0">
            <x v="56"/>
          </reference>
        </references>
      </pivotArea>
    </chartFormat>
    <chartFormat chart="4" format="60" series="1">
      <pivotArea type="data" outline="0" fieldPosition="0">
        <references count="2">
          <reference field="4294967294" count="1" selected="0">
            <x v="0"/>
          </reference>
          <reference field="7" count="1" selected="0">
            <x v="57"/>
          </reference>
        </references>
      </pivotArea>
    </chartFormat>
    <chartFormat chart="4" format="61" series="1">
      <pivotArea type="data" outline="0" fieldPosition="0">
        <references count="2">
          <reference field="4294967294" count="1" selected="0">
            <x v="0"/>
          </reference>
          <reference field="7" count="1" selected="0">
            <x v="58"/>
          </reference>
        </references>
      </pivotArea>
    </chartFormat>
    <chartFormat chart="4" format="62" series="1">
      <pivotArea type="data" outline="0" fieldPosition="0">
        <references count="2">
          <reference field="4294967294" count="1" selected="0">
            <x v="0"/>
          </reference>
          <reference field="7" count="1" selected="0">
            <x v="59"/>
          </reference>
        </references>
      </pivotArea>
    </chartFormat>
    <chartFormat chart="4" format="63" series="1">
      <pivotArea type="data" outline="0" fieldPosition="0">
        <references count="2">
          <reference field="4294967294" count="1" selected="0">
            <x v="0"/>
          </reference>
          <reference field="7" count="1" selected="0">
            <x v="60"/>
          </reference>
        </references>
      </pivotArea>
    </chartFormat>
    <chartFormat chart="4" format="64" series="1">
      <pivotArea type="data" outline="0" fieldPosition="0">
        <references count="2">
          <reference field="4294967294" count="1" selected="0">
            <x v="0"/>
          </reference>
          <reference field="7" count="1" selected="0">
            <x v="61"/>
          </reference>
        </references>
      </pivotArea>
    </chartFormat>
    <chartFormat chart="4" format="65" series="1">
      <pivotArea type="data" outline="0" fieldPosition="0">
        <references count="2">
          <reference field="4294967294" count="1" selected="0">
            <x v="0"/>
          </reference>
          <reference field="7" count="1" selected="0">
            <x v="62"/>
          </reference>
        </references>
      </pivotArea>
    </chartFormat>
    <chartFormat chart="4" format="66" series="1">
      <pivotArea type="data" outline="0" fieldPosition="0">
        <references count="2">
          <reference field="4294967294" count="1" selected="0">
            <x v="0"/>
          </reference>
          <reference field="7" count="1" selected="0">
            <x v="63"/>
          </reference>
        </references>
      </pivotArea>
    </chartFormat>
    <chartFormat chart="4" format="67" series="1">
      <pivotArea type="data" outline="0" fieldPosition="0">
        <references count="2">
          <reference field="4294967294" count="1" selected="0">
            <x v="0"/>
          </reference>
          <reference field="7" count="1" selected="0">
            <x v="64"/>
          </reference>
        </references>
      </pivotArea>
    </chartFormat>
    <chartFormat chart="4" format="68" series="1">
      <pivotArea type="data" outline="0" fieldPosition="0">
        <references count="2">
          <reference field="4294967294" count="1" selected="0">
            <x v="0"/>
          </reference>
          <reference field="7" count="1" selected="0">
            <x v="65"/>
          </reference>
        </references>
      </pivotArea>
    </chartFormat>
    <chartFormat chart="4" format="69" series="1">
      <pivotArea type="data" outline="0" fieldPosition="0">
        <references count="2">
          <reference field="4294967294" count="1" selected="0">
            <x v="0"/>
          </reference>
          <reference field="7" count="1" selected="0">
            <x v="66"/>
          </reference>
        </references>
      </pivotArea>
    </chartFormat>
    <chartFormat chart="4" format="70" series="1">
      <pivotArea type="data" outline="0" fieldPosition="0">
        <references count="2">
          <reference field="4294967294" count="1" selected="0">
            <x v="0"/>
          </reference>
          <reference field="7" count="1" selected="0">
            <x v="67"/>
          </reference>
        </references>
      </pivotArea>
    </chartFormat>
    <chartFormat chart="4" format="71" series="1">
      <pivotArea type="data" outline="0" fieldPosition="0">
        <references count="2">
          <reference field="4294967294" count="1" selected="0">
            <x v="0"/>
          </reference>
          <reference field="7" count="1" selected="0">
            <x v="68"/>
          </reference>
        </references>
      </pivotArea>
    </chartFormat>
    <chartFormat chart="4" format="72" series="1">
      <pivotArea type="data" outline="0" fieldPosition="0">
        <references count="2">
          <reference field="4294967294" count="1" selected="0">
            <x v="0"/>
          </reference>
          <reference field="7" count="1" selected="0">
            <x v="69"/>
          </reference>
        </references>
      </pivotArea>
    </chartFormat>
    <chartFormat chart="4" format="73" series="1">
      <pivotArea type="data" outline="0" fieldPosition="0">
        <references count="2">
          <reference field="4294967294" count="1" selected="0">
            <x v="0"/>
          </reference>
          <reference field="7" count="1" selected="0">
            <x v="70"/>
          </reference>
        </references>
      </pivotArea>
    </chartFormat>
    <chartFormat chart="4" format="74" series="1">
      <pivotArea type="data" outline="0" fieldPosition="0">
        <references count="2">
          <reference field="4294967294" count="1" selected="0">
            <x v="0"/>
          </reference>
          <reference field="7" count="1" selected="0">
            <x v="71"/>
          </reference>
        </references>
      </pivotArea>
    </chartFormat>
    <chartFormat chart="4" format="75" series="1">
      <pivotArea type="data" outline="0" fieldPosition="0">
        <references count="2">
          <reference field="4294967294" count="1" selected="0">
            <x v="0"/>
          </reference>
          <reference field="7" count="1" selected="0">
            <x v="72"/>
          </reference>
        </references>
      </pivotArea>
    </chartFormat>
    <chartFormat chart="4" format="76" series="1">
      <pivotArea type="data" outline="0" fieldPosition="0">
        <references count="2">
          <reference field="4294967294" count="1" selected="0">
            <x v="0"/>
          </reference>
          <reference field="7" count="1" selected="0">
            <x v="73"/>
          </reference>
        </references>
      </pivotArea>
    </chartFormat>
    <chartFormat chart="4" format="77" series="1">
      <pivotArea type="data" outline="0" fieldPosition="0">
        <references count="2">
          <reference field="4294967294" count="1" selected="0">
            <x v="0"/>
          </reference>
          <reference field="7" count="1" selected="0">
            <x v="74"/>
          </reference>
        </references>
      </pivotArea>
    </chartFormat>
    <chartFormat chart="4" format="78" series="1">
      <pivotArea type="data" outline="0" fieldPosition="0">
        <references count="2">
          <reference field="4294967294" count="1" selected="0">
            <x v="0"/>
          </reference>
          <reference field="7" count="1" selected="0">
            <x v="75"/>
          </reference>
        </references>
      </pivotArea>
    </chartFormat>
    <chartFormat chart="4" format="79" series="1">
      <pivotArea type="data" outline="0" fieldPosition="0">
        <references count="2">
          <reference field="4294967294" count="1" selected="0">
            <x v="0"/>
          </reference>
          <reference field="7" count="1" selected="0">
            <x v="76"/>
          </reference>
        </references>
      </pivotArea>
    </chartFormat>
    <chartFormat chart="4" format="80" series="1">
      <pivotArea type="data" outline="0" fieldPosition="0">
        <references count="2">
          <reference field="4294967294" count="1" selected="0">
            <x v="0"/>
          </reference>
          <reference field="7" count="1" selected="0">
            <x v="77"/>
          </reference>
        </references>
      </pivotArea>
    </chartFormat>
    <chartFormat chart="4" format="81" series="1">
      <pivotArea type="data" outline="0" fieldPosition="0">
        <references count="2">
          <reference field="4294967294" count="1" selected="0">
            <x v="0"/>
          </reference>
          <reference field="7" count="1" selected="0">
            <x v="78"/>
          </reference>
        </references>
      </pivotArea>
    </chartFormat>
    <chartFormat chart="4" format="82" series="1">
      <pivotArea type="data" outline="0" fieldPosition="0">
        <references count="2">
          <reference field="4294967294" count="1" selected="0">
            <x v="0"/>
          </reference>
          <reference field="7" count="1" selected="0">
            <x v="79"/>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2"/>
          </reference>
        </references>
      </pivotArea>
    </chartFormat>
    <chartFormat chart="0" format="4" series="1">
      <pivotArea type="data" outline="0" fieldPosition="0">
        <references count="2">
          <reference field="4294967294" count="1" selected="0">
            <x v="0"/>
          </reference>
          <reference field="7" count="1" selected="0">
            <x v="3"/>
          </reference>
        </references>
      </pivotArea>
    </chartFormat>
    <chartFormat chart="0" format="5" series="1">
      <pivotArea type="data" outline="0" fieldPosition="0">
        <references count="2">
          <reference field="4294967294" count="1" selected="0">
            <x v="0"/>
          </reference>
          <reference field="7" count="1" selected="0">
            <x v="4"/>
          </reference>
        </references>
      </pivotArea>
    </chartFormat>
    <chartFormat chart="0" format="6" series="1">
      <pivotArea type="data" outline="0" fieldPosition="0">
        <references count="2">
          <reference field="4294967294" count="1" selected="0">
            <x v="0"/>
          </reference>
          <reference field="7" count="1" selected="0">
            <x v="5"/>
          </reference>
        </references>
      </pivotArea>
    </chartFormat>
    <chartFormat chart="0" format="7" series="1">
      <pivotArea type="data" outline="0" fieldPosition="0">
        <references count="2">
          <reference field="4294967294" count="1" selected="0">
            <x v="0"/>
          </reference>
          <reference field="7" count="1" selected="0">
            <x v="6"/>
          </reference>
        </references>
      </pivotArea>
    </chartFormat>
    <chartFormat chart="0" format="8" series="1">
      <pivotArea type="data" outline="0" fieldPosition="0">
        <references count="2">
          <reference field="4294967294" count="1" selected="0">
            <x v="0"/>
          </reference>
          <reference field="7" count="1" selected="0">
            <x v="7"/>
          </reference>
        </references>
      </pivotArea>
    </chartFormat>
    <chartFormat chart="0" format="9" series="1">
      <pivotArea type="data" outline="0" fieldPosition="0">
        <references count="2">
          <reference field="4294967294" count="1" selected="0">
            <x v="0"/>
          </reference>
          <reference field="7" count="1" selected="0">
            <x v="8"/>
          </reference>
        </references>
      </pivotArea>
    </chartFormat>
    <chartFormat chart="0" format="10" series="1">
      <pivotArea type="data" outline="0" fieldPosition="0">
        <references count="2">
          <reference field="4294967294" count="1" selected="0">
            <x v="0"/>
          </reference>
          <reference field="7" count="1" selected="0">
            <x v="9"/>
          </reference>
        </references>
      </pivotArea>
    </chartFormat>
    <chartFormat chart="0" format="11" series="1">
      <pivotArea type="data" outline="0" fieldPosition="0">
        <references count="2">
          <reference field="4294967294" count="1" selected="0">
            <x v="0"/>
          </reference>
          <reference field="7" count="1" selected="0">
            <x v="10"/>
          </reference>
        </references>
      </pivotArea>
    </chartFormat>
    <chartFormat chart="0" format="12" series="1">
      <pivotArea type="data" outline="0" fieldPosition="0">
        <references count="2">
          <reference field="4294967294" count="1" selected="0">
            <x v="0"/>
          </reference>
          <reference field="7" count="1" selected="0">
            <x v="11"/>
          </reference>
        </references>
      </pivotArea>
    </chartFormat>
    <chartFormat chart="0" format="13" series="1">
      <pivotArea type="data" outline="0" fieldPosition="0">
        <references count="2">
          <reference field="4294967294" count="1" selected="0">
            <x v="0"/>
          </reference>
          <reference field="7" count="1" selected="0">
            <x v="12"/>
          </reference>
        </references>
      </pivotArea>
    </chartFormat>
    <chartFormat chart="0" format="14" series="1">
      <pivotArea type="data" outline="0" fieldPosition="0">
        <references count="2">
          <reference field="4294967294" count="1" selected="0">
            <x v="0"/>
          </reference>
          <reference field="7" count="1" selected="0">
            <x v="13"/>
          </reference>
        </references>
      </pivotArea>
    </chartFormat>
    <chartFormat chart="0" format="15" series="1">
      <pivotArea type="data" outline="0" fieldPosition="0">
        <references count="2">
          <reference field="4294967294" count="1" selected="0">
            <x v="0"/>
          </reference>
          <reference field="7" count="1" selected="0">
            <x v="14"/>
          </reference>
        </references>
      </pivotArea>
    </chartFormat>
    <chartFormat chart="0" format="16" series="1">
      <pivotArea type="data" outline="0" fieldPosition="0">
        <references count="2">
          <reference field="4294967294" count="1" selected="0">
            <x v="0"/>
          </reference>
          <reference field="7" count="1" selected="0">
            <x v="15"/>
          </reference>
        </references>
      </pivotArea>
    </chartFormat>
    <chartFormat chart="0" format="17" series="1">
      <pivotArea type="data" outline="0" fieldPosition="0">
        <references count="2">
          <reference field="4294967294" count="1" selected="0">
            <x v="0"/>
          </reference>
          <reference field="7" count="1" selected="0">
            <x v="16"/>
          </reference>
        </references>
      </pivotArea>
    </chartFormat>
    <chartFormat chart="0" format="18" series="1">
      <pivotArea type="data" outline="0" fieldPosition="0">
        <references count="2">
          <reference field="4294967294" count="1" selected="0">
            <x v="0"/>
          </reference>
          <reference field="7" count="1" selected="0">
            <x v="17"/>
          </reference>
        </references>
      </pivotArea>
    </chartFormat>
    <chartFormat chart="0" format="19" series="1">
      <pivotArea type="data" outline="0" fieldPosition="0">
        <references count="2">
          <reference field="4294967294" count="1" selected="0">
            <x v="0"/>
          </reference>
          <reference field="7" count="1" selected="0">
            <x v="18"/>
          </reference>
        </references>
      </pivotArea>
    </chartFormat>
    <chartFormat chart="0" format="20" series="1">
      <pivotArea type="data" outline="0" fieldPosition="0">
        <references count="2">
          <reference field="4294967294" count="1" selected="0">
            <x v="0"/>
          </reference>
          <reference field="7" count="1" selected="0">
            <x v="19"/>
          </reference>
        </references>
      </pivotArea>
    </chartFormat>
    <chartFormat chart="0" format="21" series="1">
      <pivotArea type="data" outline="0" fieldPosition="0">
        <references count="2">
          <reference field="4294967294" count="1" selected="0">
            <x v="0"/>
          </reference>
          <reference field="7" count="1" selected="0">
            <x v="20"/>
          </reference>
        </references>
      </pivotArea>
    </chartFormat>
    <chartFormat chart="0" format="22" series="1">
      <pivotArea type="data" outline="0" fieldPosition="0">
        <references count="2">
          <reference field="4294967294" count="1" selected="0">
            <x v="0"/>
          </reference>
          <reference field="7" count="1" selected="0">
            <x v="21"/>
          </reference>
        </references>
      </pivotArea>
    </chartFormat>
    <chartFormat chart="0" format="23" series="1">
      <pivotArea type="data" outline="0" fieldPosition="0">
        <references count="2">
          <reference field="4294967294" count="1" selected="0">
            <x v="0"/>
          </reference>
          <reference field="7" count="1" selected="0">
            <x v="22"/>
          </reference>
        </references>
      </pivotArea>
    </chartFormat>
    <chartFormat chart="0" format="24" series="1">
      <pivotArea type="data" outline="0" fieldPosition="0">
        <references count="2">
          <reference field="4294967294" count="1" selected="0">
            <x v="0"/>
          </reference>
          <reference field="7" count="1" selected="0">
            <x v="23"/>
          </reference>
        </references>
      </pivotArea>
    </chartFormat>
    <chartFormat chart="0" format="25" series="1">
      <pivotArea type="data" outline="0" fieldPosition="0">
        <references count="2">
          <reference field="4294967294" count="1" selected="0">
            <x v="0"/>
          </reference>
          <reference field="7" count="1" selected="0">
            <x v="24"/>
          </reference>
        </references>
      </pivotArea>
    </chartFormat>
    <chartFormat chart="0" format="26" series="1">
      <pivotArea type="data" outline="0" fieldPosition="0">
        <references count="2">
          <reference field="4294967294" count="1" selected="0">
            <x v="0"/>
          </reference>
          <reference field="7" count="1" selected="0">
            <x v="25"/>
          </reference>
        </references>
      </pivotArea>
    </chartFormat>
    <chartFormat chart="0" format="27" series="1">
      <pivotArea type="data" outline="0" fieldPosition="0">
        <references count="2">
          <reference field="4294967294" count="1" selected="0">
            <x v="0"/>
          </reference>
          <reference field="7" count="1" selected="0">
            <x v="26"/>
          </reference>
        </references>
      </pivotArea>
    </chartFormat>
    <chartFormat chart="0" format="28" series="1">
      <pivotArea type="data" outline="0" fieldPosition="0">
        <references count="2">
          <reference field="4294967294" count="1" selected="0">
            <x v="0"/>
          </reference>
          <reference field="7" count="1" selected="0">
            <x v="27"/>
          </reference>
        </references>
      </pivotArea>
    </chartFormat>
    <chartFormat chart="0" format="29" series="1">
      <pivotArea type="data" outline="0" fieldPosition="0">
        <references count="2">
          <reference field="4294967294" count="1" selected="0">
            <x v="0"/>
          </reference>
          <reference field="7" count="1" selected="0">
            <x v="28"/>
          </reference>
        </references>
      </pivotArea>
    </chartFormat>
    <chartFormat chart="0" format="30" series="1">
      <pivotArea type="data" outline="0" fieldPosition="0">
        <references count="2">
          <reference field="4294967294" count="1" selected="0">
            <x v="0"/>
          </reference>
          <reference field="7" count="1" selected="0">
            <x v="29"/>
          </reference>
        </references>
      </pivotArea>
    </chartFormat>
    <chartFormat chart="0" format="31" series="1">
      <pivotArea type="data" outline="0" fieldPosition="0">
        <references count="2">
          <reference field="4294967294" count="1" selected="0">
            <x v="0"/>
          </reference>
          <reference field="7" count="1" selected="0">
            <x v="30"/>
          </reference>
        </references>
      </pivotArea>
    </chartFormat>
    <chartFormat chart="0" format="32" series="1">
      <pivotArea type="data" outline="0" fieldPosition="0">
        <references count="2">
          <reference field="4294967294" count="1" selected="0">
            <x v="0"/>
          </reference>
          <reference field="7" count="1" selected="0">
            <x v="31"/>
          </reference>
        </references>
      </pivotArea>
    </chartFormat>
    <chartFormat chart="0" format="33" series="1">
      <pivotArea type="data" outline="0" fieldPosition="0">
        <references count="2">
          <reference field="4294967294" count="1" selected="0">
            <x v="0"/>
          </reference>
          <reference field="7" count="1" selected="0">
            <x v="32"/>
          </reference>
        </references>
      </pivotArea>
    </chartFormat>
    <chartFormat chart="0" format="34" series="1">
      <pivotArea type="data" outline="0" fieldPosition="0">
        <references count="2">
          <reference field="4294967294" count="1" selected="0">
            <x v="0"/>
          </reference>
          <reference field="7" count="1" selected="0">
            <x v="33"/>
          </reference>
        </references>
      </pivotArea>
    </chartFormat>
    <chartFormat chart="0" format="35" series="1">
      <pivotArea type="data" outline="0" fieldPosition="0">
        <references count="2">
          <reference field="4294967294" count="1" selected="0">
            <x v="0"/>
          </reference>
          <reference field="7" count="1" selected="0">
            <x v="34"/>
          </reference>
        </references>
      </pivotArea>
    </chartFormat>
    <chartFormat chart="0" format="36" series="1">
      <pivotArea type="data" outline="0" fieldPosition="0">
        <references count="2">
          <reference field="4294967294" count="1" selected="0">
            <x v="0"/>
          </reference>
          <reference field="7" count="1" selected="0">
            <x v="35"/>
          </reference>
        </references>
      </pivotArea>
    </chartFormat>
    <chartFormat chart="0" format="37" series="1">
      <pivotArea type="data" outline="0" fieldPosition="0">
        <references count="2">
          <reference field="4294967294" count="1" selected="0">
            <x v="0"/>
          </reference>
          <reference field="7" count="1" selected="0">
            <x v="36"/>
          </reference>
        </references>
      </pivotArea>
    </chartFormat>
    <chartFormat chart="0" format="38" series="1">
      <pivotArea type="data" outline="0" fieldPosition="0">
        <references count="2">
          <reference field="4294967294" count="1" selected="0">
            <x v="0"/>
          </reference>
          <reference field="7" count="1" selected="0">
            <x v="37"/>
          </reference>
        </references>
      </pivotArea>
    </chartFormat>
    <chartFormat chart="0" format="39" series="1">
      <pivotArea type="data" outline="0" fieldPosition="0">
        <references count="2">
          <reference field="4294967294" count="1" selected="0">
            <x v="0"/>
          </reference>
          <reference field="7" count="1" selected="0">
            <x v="38"/>
          </reference>
        </references>
      </pivotArea>
    </chartFormat>
    <chartFormat chart="0" format="40" series="1">
      <pivotArea type="data" outline="0" fieldPosition="0">
        <references count="2">
          <reference field="4294967294" count="1" selected="0">
            <x v="0"/>
          </reference>
          <reference field="7" count="1" selected="0">
            <x v="39"/>
          </reference>
        </references>
      </pivotArea>
    </chartFormat>
    <chartFormat chart="0" format="41" series="1">
      <pivotArea type="data" outline="0" fieldPosition="0">
        <references count="2">
          <reference field="4294967294" count="1" selected="0">
            <x v="0"/>
          </reference>
          <reference field="7" count="1" selected="0">
            <x v="40"/>
          </reference>
        </references>
      </pivotArea>
    </chartFormat>
    <chartFormat chart="0" format="42" series="1">
      <pivotArea type="data" outline="0" fieldPosition="0">
        <references count="2">
          <reference field="4294967294" count="1" selected="0">
            <x v="0"/>
          </reference>
          <reference field="7" count="1" selected="0">
            <x v="41"/>
          </reference>
        </references>
      </pivotArea>
    </chartFormat>
    <chartFormat chart="0" format="43" series="1">
      <pivotArea type="data" outline="0" fieldPosition="0">
        <references count="2">
          <reference field="4294967294" count="1" selected="0">
            <x v="0"/>
          </reference>
          <reference field="7" count="1" selected="0">
            <x v="42"/>
          </reference>
        </references>
      </pivotArea>
    </chartFormat>
    <chartFormat chart="0" format="44" series="1">
      <pivotArea type="data" outline="0" fieldPosition="0">
        <references count="2">
          <reference field="4294967294" count="1" selected="0">
            <x v="0"/>
          </reference>
          <reference field="7" count="1" selected="0">
            <x v="43"/>
          </reference>
        </references>
      </pivotArea>
    </chartFormat>
    <chartFormat chart="0" format="45" series="1">
      <pivotArea type="data" outline="0" fieldPosition="0">
        <references count="2">
          <reference field="4294967294" count="1" selected="0">
            <x v="0"/>
          </reference>
          <reference field="7" count="1" selected="0">
            <x v="44"/>
          </reference>
        </references>
      </pivotArea>
    </chartFormat>
    <chartFormat chart="0" format="46" series="1">
      <pivotArea type="data" outline="0" fieldPosition="0">
        <references count="2">
          <reference field="4294967294" count="1" selected="0">
            <x v="0"/>
          </reference>
          <reference field="7" count="1" selected="0">
            <x v="45"/>
          </reference>
        </references>
      </pivotArea>
    </chartFormat>
    <chartFormat chart="0" format="47" series="1">
      <pivotArea type="data" outline="0" fieldPosition="0">
        <references count="2">
          <reference field="4294967294" count="1" selected="0">
            <x v="0"/>
          </reference>
          <reference field="7" count="1" selected="0">
            <x v="46"/>
          </reference>
        </references>
      </pivotArea>
    </chartFormat>
    <chartFormat chart="0" format="48" series="1">
      <pivotArea type="data" outline="0" fieldPosition="0">
        <references count="2">
          <reference field="4294967294" count="1" selected="0">
            <x v="0"/>
          </reference>
          <reference field="7" count="1" selected="0">
            <x v="47"/>
          </reference>
        </references>
      </pivotArea>
    </chartFormat>
    <chartFormat chart="0" format="49" series="1">
      <pivotArea type="data" outline="0" fieldPosition="0">
        <references count="2">
          <reference field="4294967294" count="1" selected="0">
            <x v="0"/>
          </reference>
          <reference field="7" count="1" selected="0">
            <x v="48"/>
          </reference>
        </references>
      </pivotArea>
    </chartFormat>
    <chartFormat chart="0" format="50" series="1">
      <pivotArea type="data" outline="0" fieldPosition="0">
        <references count="2">
          <reference field="4294967294" count="1" selected="0">
            <x v="0"/>
          </reference>
          <reference field="7" count="1" selected="0">
            <x v="49"/>
          </reference>
        </references>
      </pivotArea>
    </chartFormat>
    <chartFormat chart="0" format="51" series="1">
      <pivotArea type="data" outline="0" fieldPosition="0">
        <references count="2">
          <reference field="4294967294" count="1" selected="0">
            <x v="0"/>
          </reference>
          <reference field="7" count="1" selected="0">
            <x v="50"/>
          </reference>
        </references>
      </pivotArea>
    </chartFormat>
    <chartFormat chart="0" format="52" series="1">
      <pivotArea type="data" outline="0" fieldPosition="0">
        <references count="2">
          <reference field="4294967294" count="1" selected="0">
            <x v="0"/>
          </reference>
          <reference field="7" count="1" selected="0">
            <x v="51"/>
          </reference>
        </references>
      </pivotArea>
    </chartFormat>
    <chartFormat chart="0" format="53" series="1">
      <pivotArea type="data" outline="0" fieldPosition="0">
        <references count="2">
          <reference field="4294967294" count="1" selected="0">
            <x v="0"/>
          </reference>
          <reference field="7" count="1" selected="0">
            <x v="52"/>
          </reference>
        </references>
      </pivotArea>
    </chartFormat>
    <chartFormat chart="0" format="54" series="1">
      <pivotArea type="data" outline="0" fieldPosition="0">
        <references count="2">
          <reference field="4294967294" count="1" selected="0">
            <x v="0"/>
          </reference>
          <reference field="7" count="1" selected="0">
            <x v="53"/>
          </reference>
        </references>
      </pivotArea>
    </chartFormat>
    <chartFormat chart="0" format="55" series="1">
      <pivotArea type="data" outline="0" fieldPosition="0">
        <references count="2">
          <reference field="4294967294" count="1" selected="0">
            <x v="0"/>
          </reference>
          <reference field="7" count="1" selected="0">
            <x v="54"/>
          </reference>
        </references>
      </pivotArea>
    </chartFormat>
    <chartFormat chart="0" format="56" series="1">
      <pivotArea type="data" outline="0" fieldPosition="0">
        <references count="2">
          <reference field="4294967294" count="1" selected="0">
            <x v="0"/>
          </reference>
          <reference field="7" count="1" selected="0">
            <x v="55"/>
          </reference>
        </references>
      </pivotArea>
    </chartFormat>
    <chartFormat chart="0" format="57" series="1">
      <pivotArea type="data" outline="0" fieldPosition="0">
        <references count="2">
          <reference field="4294967294" count="1" selected="0">
            <x v="0"/>
          </reference>
          <reference field="7" count="1" selected="0">
            <x v="56"/>
          </reference>
        </references>
      </pivotArea>
    </chartFormat>
    <chartFormat chart="0" format="58" series="1">
      <pivotArea type="data" outline="0" fieldPosition="0">
        <references count="2">
          <reference field="4294967294" count="1" selected="0">
            <x v="0"/>
          </reference>
          <reference field="7" count="1" selected="0">
            <x v="57"/>
          </reference>
        </references>
      </pivotArea>
    </chartFormat>
    <chartFormat chart="0" format="59" series="1">
      <pivotArea type="data" outline="0" fieldPosition="0">
        <references count="2">
          <reference field="4294967294" count="1" selected="0">
            <x v="0"/>
          </reference>
          <reference field="7" count="1" selected="0">
            <x v="58"/>
          </reference>
        </references>
      </pivotArea>
    </chartFormat>
    <chartFormat chart="0" format="60" series="1">
      <pivotArea type="data" outline="0" fieldPosition="0">
        <references count="2">
          <reference field="4294967294" count="1" selected="0">
            <x v="0"/>
          </reference>
          <reference field="7" count="1" selected="0">
            <x v="59"/>
          </reference>
        </references>
      </pivotArea>
    </chartFormat>
    <chartFormat chart="0" format="61" series="1">
      <pivotArea type="data" outline="0" fieldPosition="0">
        <references count="2">
          <reference field="4294967294" count="1" selected="0">
            <x v="0"/>
          </reference>
          <reference field="7" count="1" selected="0">
            <x v="60"/>
          </reference>
        </references>
      </pivotArea>
    </chartFormat>
    <chartFormat chart="0" format="62" series="1">
      <pivotArea type="data" outline="0" fieldPosition="0">
        <references count="2">
          <reference field="4294967294" count="1" selected="0">
            <x v="0"/>
          </reference>
          <reference field="7" count="1" selected="0">
            <x v="61"/>
          </reference>
        </references>
      </pivotArea>
    </chartFormat>
    <chartFormat chart="0" format="63" series="1">
      <pivotArea type="data" outline="0" fieldPosition="0">
        <references count="2">
          <reference field="4294967294" count="1" selected="0">
            <x v="0"/>
          </reference>
          <reference field="7" count="1" selected="0">
            <x v="62"/>
          </reference>
        </references>
      </pivotArea>
    </chartFormat>
    <chartFormat chart="0" format="64" series="1">
      <pivotArea type="data" outline="0" fieldPosition="0">
        <references count="2">
          <reference field="4294967294" count="1" selected="0">
            <x v="0"/>
          </reference>
          <reference field="7" count="1" selected="0">
            <x v="63"/>
          </reference>
        </references>
      </pivotArea>
    </chartFormat>
    <chartFormat chart="0" format="65" series="1">
      <pivotArea type="data" outline="0" fieldPosition="0">
        <references count="2">
          <reference field="4294967294" count="1" selected="0">
            <x v="0"/>
          </reference>
          <reference field="7" count="1" selected="0">
            <x v="64"/>
          </reference>
        </references>
      </pivotArea>
    </chartFormat>
    <chartFormat chart="0" format="66" series="1">
      <pivotArea type="data" outline="0" fieldPosition="0">
        <references count="2">
          <reference field="4294967294" count="1" selected="0">
            <x v="0"/>
          </reference>
          <reference field="7" count="1" selected="0">
            <x v="65"/>
          </reference>
        </references>
      </pivotArea>
    </chartFormat>
    <chartFormat chart="0" format="67" series="1">
      <pivotArea type="data" outline="0" fieldPosition="0">
        <references count="2">
          <reference field="4294967294" count="1" selected="0">
            <x v="0"/>
          </reference>
          <reference field="7" count="1" selected="0">
            <x v="66"/>
          </reference>
        </references>
      </pivotArea>
    </chartFormat>
    <chartFormat chart="0" format="68" series="1">
      <pivotArea type="data" outline="0" fieldPosition="0">
        <references count="2">
          <reference field="4294967294" count="1" selected="0">
            <x v="0"/>
          </reference>
          <reference field="7" count="1" selected="0">
            <x v="67"/>
          </reference>
        </references>
      </pivotArea>
    </chartFormat>
    <chartFormat chart="0" format="69" series="1">
      <pivotArea type="data" outline="0" fieldPosition="0">
        <references count="2">
          <reference field="4294967294" count="1" selected="0">
            <x v="0"/>
          </reference>
          <reference field="7" count="1" selected="0">
            <x v="68"/>
          </reference>
        </references>
      </pivotArea>
    </chartFormat>
    <chartFormat chart="0" format="70" series="1">
      <pivotArea type="data" outline="0" fieldPosition="0">
        <references count="2">
          <reference field="4294967294" count="1" selected="0">
            <x v="0"/>
          </reference>
          <reference field="7" count="1" selected="0">
            <x v="69"/>
          </reference>
        </references>
      </pivotArea>
    </chartFormat>
    <chartFormat chart="0" format="71" series="1">
      <pivotArea type="data" outline="0" fieldPosition="0">
        <references count="2">
          <reference field="4294967294" count="1" selected="0">
            <x v="0"/>
          </reference>
          <reference field="7" count="1" selected="0">
            <x v="70"/>
          </reference>
        </references>
      </pivotArea>
    </chartFormat>
    <chartFormat chart="0" format="72" series="1">
      <pivotArea type="data" outline="0" fieldPosition="0">
        <references count="2">
          <reference field="4294967294" count="1" selected="0">
            <x v="0"/>
          </reference>
          <reference field="7" count="1" selected="0">
            <x v="71"/>
          </reference>
        </references>
      </pivotArea>
    </chartFormat>
    <chartFormat chart="0" format="73" series="1">
      <pivotArea type="data" outline="0" fieldPosition="0">
        <references count="2">
          <reference field="4294967294" count="1" selected="0">
            <x v="0"/>
          </reference>
          <reference field="7" count="1" selected="0">
            <x v="72"/>
          </reference>
        </references>
      </pivotArea>
    </chartFormat>
    <chartFormat chart="0" format="74" series="1">
      <pivotArea type="data" outline="0" fieldPosition="0">
        <references count="2">
          <reference field="4294967294" count="1" selected="0">
            <x v="0"/>
          </reference>
          <reference field="7" count="1" selected="0">
            <x v="73"/>
          </reference>
        </references>
      </pivotArea>
    </chartFormat>
    <chartFormat chart="0" format="75" series="1">
      <pivotArea type="data" outline="0" fieldPosition="0">
        <references count="2">
          <reference field="4294967294" count="1" selected="0">
            <x v="0"/>
          </reference>
          <reference field="7" count="1" selected="0">
            <x v="74"/>
          </reference>
        </references>
      </pivotArea>
    </chartFormat>
    <chartFormat chart="0" format="76" series="1">
      <pivotArea type="data" outline="0" fieldPosition="0">
        <references count="2">
          <reference field="4294967294" count="1" selected="0">
            <x v="0"/>
          </reference>
          <reference field="7" count="1" selected="0">
            <x v="75"/>
          </reference>
        </references>
      </pivotArea>
    </chartFormat>
    <chartFormat chart="0" format="77" series="1">
      <pivotArea type="data" outline="0" fieldPosition="0">
        <references count="2">
          <reference field="4294967294" count="1" selected="0">
            <x v="0"/>
          </reference>
          <reference field="7" count="1" selected="0">
            <x v="76"/>
          </reference>
        </references>
      </pivotArea>
    </chartFormat>
    <chartFormat chart="0" format="78" series="1">
      <pivotArea type="data" outline="0" fieldPosition="0">
        <references count="2">
          <reference field="4294967294" count="1" selected="0">
            <x v="0"/>
          </reference>
          <reference field="7" count="1" selected="0">
            <x v="77"/>
          </reference>
        </references>
      </pivotArea>
    </chartFormat>
    <chartFormat chart="0" format="79" series="1">
      <pivotArea type="data" outline="0" fieldPosition="0">
        <references count="2">
          <reference field="4294967294" count="1" selected="0">
            <x v="0"/>
          </reference>
          <reference field="7" count="1" selected="0">
            <x v="78"/>
          </reference>
        </references>
      </pivotArea>
    </chartFormat>
    <chartFormat chart="0" format="80" series="1">
      <pivotArea type="data" outline="0" fieldPosition="0">
        <references count="2">
          <reference field="4294967294" count="1" selected="0">
            <x v="0"/>
          </reference>
          <reference field="7" count="1" selected="0">
            <x v="79"/>
          </reference>
        </references>
      </pivotArea>
    </chartFormat>
    <chartFormat chart="9" format="161" series="1">
      <pivotArea type="data" outline="0" fieldPosition="0">
        <references count="2">
          <reference field="4294967294" count="1" selected="0">
            <x v="0"/>
          </reference>
          <reference field="7" count="1" selected="0">
            <x v="0"/>
          </reference>
        </references>
      </pivotArea>
    </chartFormat>
    <chartFormat chart="9" format="162" series="1">
      <pivotArea type="data" outline="0" fieldPosition="0">
        <references count="2">
          <reference field="4294967294" count="1" selected="0">
            <x v="0"/>
          </reference>
          <reference field="7" count="1" selected="0">
            <x v="1"/>
          </reference>
        </references>
      </pivotArea>
    </chartFormat>
    <chartFormat chart="9" format="163" series="1">
      <pivotArea type="data" outline="0" fieldPosition="0">
        <references count="2">
          <reference field="4294967294" count="1" selected="0">
            <x v="0"/>
          </reference>
          <reference field="7" count="1" selected="0">
            <x v="2"/>
          </reference>
        </references>
      </pivotArea>
    </chartFormat>
    <chartFormat chart="9" format="164" series="1">
      <pivotArea type="data" outline="0" fieldPosition="0">
        <references count="2">
          <reference field="4294967294" count="1" selected="0">
            <x v="0"/>
          </reference>
          <reference field="7" count="1" selected="0">
            <x v="3"/>
          </reference>
        </references>
      </pivotArea>
    </chartFormat>
    <chartFormat chart="9" format="165" series="1">
      <pivotArea type="data" outline="0" fieldPosition="0">
        <references count="2">
          <reference field="4294967294" count="1" selected="0">
            <x v="0"/>
          </reference>
          <reference field="7" count="1" selected="0">
            <x v="4"/>
          </reference>
        </references>
      </pivotArea>
    </chartFormat>
    <chartFormat chart="9" format="166" series="1">
      <pivotArea type="data" outline="0" fieldPosition="0">
        <references count="2">
          <reference field="4294967294" count="1" selected="0">
            <x v="0"/>
          </reference>
          <reference field="7" count="1" selected="0">
            <x v="5"/>
          </reference>
        </references>
      </pivotArea>
    </chartFormat>
    <chartFormat chart="9" format="167" series="1">
      <pivotArea type="data" outline="0" fieldPosition="0">
        <references count="2">
          <reference field="4294967294" count="1" selected="0">
            <x v="0"/>
          </reference>
          <reference field="7" count="1" selected="0">
            <x v="6"/>
          </reference>
        </references>
      </pivotArea>
    </chartFormat>
    <chartFormat chart="9" format="168" series="1">
      <pivotArea type="data" outline="0" fieldPosition="0">
        <references count="2">
          <reference field="4294967294" count="1" selected="0">
            <x v="0"/>
          </reference>
          <reference field="7" count="1" selected="0">
            <x v="7"/>
          </reference>
        </references>
      </pivotArea>
    </chartFormat>
    <chartFormat chart="9" format="169" series="1">
      <pivotArea type="data" outline="0" fieldPosition="0">
        <references count="2">
          <reference field="4294967294" count="1" selected="0">
            <x v="0"/>
          </reference>
          <reference field="7" count="1" selected="0">
            <x v="8"/>
          </reference>
        </references>
      </pivotArea>
    </chartFormat>
    <chartFormat chart="9" format="170" series="1">
      <pivotArea type="data" outline="0" fieldPosition="0">
        <references count="2">
          <reference field="4294967294" count="1" selected="0">
            <x v="0"/>
          </reference>
          <reference field="7" count="1" selected="0">
            <x v="9"/>
          </reference>
        </references>
      </pivotArea>
    </chartFormat>
    <chartFormat chart="9" format="171" series="1">
      <pivotArea type="data" outline="0" fieldPosition="0">
        <references count="2">
          <reference field="4294967294" count="1" selected="0">
            <x v="0"/>
          </reference>
          <reference field="7" count="1" selected="0">
            <x v="10"/>
          </reference>
        </references>
      </pivotArea>
    </chartFormat>
    <chartFormat chart="9" format="172" series="1">
      <pivotArea type="data" outline="0" fieldPosition="0">
        <references count="2">
          <reference field="4294967294" count="1" selected="0">
            <x v="0"/>
          </reference>
          <reference field="7" count="1" selected="0">
            <x v="11"/>
          </reference>
        </references>
      </pivotArea>
    </chartFormat>
    <chartFormat chart="9" format="173" series="1">
      <pivotArea type="data" outline="0" fieldPosition="0">
        <references count="2">
          <reference field="4294967294" count="1" selected="0">
            <x v="0"/>
          </reference>
          <reference field="7" count="1" selected="0">
            <x v="12"/>
          </reference>
        </references>
      </pivotArea>
    </chartFormat>
    <chartFormat chart="9" format="174" series="1">
      <pivotArea type="data" outline="0" fieldPosition="0">
        <references count="2">
          <reference field="4294967294" count="1" selected="0">
            <x v="0"/>
          </reference>
          <reference field="7" count="1" selected="0">
            <x v="13"/>
          </reference>
        </references>
      </pivotArea>
    </chartFormat>
    <chartFormat chart="9" format="175" series="1">
      <pivotArea type="data" outline="0" fieldPosition="0">
        <references count="2">
          <reference field="4294967294" count="1" selected="0">
            <x v="0"/>
          </reference>
          <reference field="7" count="1" selected="0">
            <x v="14"/>
          </reference>
        </references>
      </pivotArea>
    </chartFormat>
    <chartFormat chart="9" format="176" series="1">
      <pivotArea type="data" outline="0" fieldPosition="0">
        <references count="2">
          <reference field="4294967294" count="1" selected="0">
            <x v="0"/>
          </reference>
          <reference field="7" count="1" selected="0">
            <x v="15"/>
          </reference>
        </references>
      </pivotArea>
    </chartFormat>
    <chartFormat chart="9" format="177" series="1">
      <pivotArea type="data" outline="0" fieldPosition="0">
        <references count="2">
          <reference field="4294967294" count="1" selected="0">
            <x v="0"/>
          </reference>
          <reference field="7" count="1" selected="0">
            <x v="16"/>
          </reference>
        </references>
      </pivotArea>
    </chartFormat>
    <chartFormat chart="9" format="178" series="1">
      <pivotArea type="data" outline="0" fieldPosition="0">
        <references count="2">
          <reference field="4294967294" count="1" selected="0">
            <x v="0"/>
          </reference>
          <reference field="7" count="1" selected="0">
            <x v="17"/>
          </reference>
        </references>
      </pivotArea>
    </chartFormat>
    <chartFormat chart="9" format="179" series="1">
      <pivotArea type="data" outline="0" fieldPosition="0">
        <references count="2">
          <reference field="4294967294" count="1" selected="0">
            <x v="0"/>
          </reference>
          <reference field="7" count="1" selected="0">
            <x v="18"/>
          </reference>
        </references>
      </pivotArea>
    </chartFormat>
    <chartFormat chart="9" format="180" series="1">
      <pivotArea type="data" outline="0" fieldPosition="0">
        <references count="2">
          <reference field="4294967294" count="1" selected="0">
            <x v="0"/>
          </reference>
          <reference field="7" count="1" selected="0">
            <x v="19"/>
          </reference>
        </references>
      </pivotArea>
    </chartFormat>
    <chartFormat chart="9" format="181" series="1">
      <pivotArea type="data" outline="0" fieldPosition="0">
        <references count="2">
          <reference field="4294967294" count="1" selected="0">
            <x v="0"/>
          </reference>
          <reference field="7" count="1" selected="0">
            <x v="20"/>
          </reference>
        </references>
      </pivotArea>
    </chartFormat>
    <chartFormat chart="9" format="182" series="1">
      <pivotArea type="data" outline="0" fieldPosition="0">
        <references count="2">
          <reference field="4294967294" count="1" selected="0">
            <x v="0"/>
          </reference>
          <reference field="7" count="1" selected="0">
            <x v="21"/>
          </reference>
        </references>
      </pivotArea>
    </chartFormat>
    <chartFormat chart="9" format="183" series="1">
      <pivotArea type="data" outline="0" fieldPosition="0">
        <references count="2">
          <reference field="4294967294" count="1" selected="0">
            <x v="0"/>
          </reference>
          <reference field="7" count="1" selected="0">
            <x v="22"/>
          </reference>
        </references>
      </pivotArea>
    </chartFormat>
    <chartFormat chart="9" format="184" series="1">
      <pivotArea type="data" outline="0" fieldPosition="0">
        <references count="2">
          <reference field="4294967294" count="1" selected="0">
            <x v="0"/>
          </reference>
          <reference field="7" count="1" selected="0">
            <x v="23"/>
          </reference>
        </references>
      </pivotArea>
    </chartFormat>
    <chartFormat chart="9" format="185" series="1">
      <pivotArea type="data" outline="0" fieldPosition="0">
        <references count="2">
          <reference field="4294967294" count="1" selected="0">
            <x v="0"/>
          </reference>
          <reference field="7" count="1" selected="0">
            <x v="24"/>
          </reference>
        </references>
      </pivotArea>
    </chartFormat>
    <chartFormat chart="9" format="186" series="1">
      <pivotArea type="data" outline="0" fieldPosition="0">
        <references count="2">
          <reference field="4294967294" count="1" selected="0">
            <x v="0"/>
          </reference>
          <reference field="7" count="1" selected="0">
            <x v="25"/>
          </reference>
        </references>
      </pivotArea>
    </chartFormat>
    <chartFormat chart="9" format="187" series="1">
      <pivotArea type="data" outline="0" fieldPosition="0">
        <references count="2">
          <reference field="4294967294" count="1" selected="0">
            <x v="0"/>
          </reference>
          <reference field="7" count="1" selected="0">
            <x v="26"/>
          </reference>
        </references>
      </pivotArea>
    </chartFormat>
    <chartFormat chart="9" format="188" series="1">
      <pivotArea type="data" outline="0" fieldPosition="0">
        <references count="2">
          <reference field="4294967294" count="1" selected="0">
            <x v="0"/>
          </reference>
          <reference field="7" count="1" selected="0">
            <x v="27"/>
          </reference>
        </references>
      </pivotArea>
    </chartFormat>
    <chartFormat chart="9" format="189" series="1">
      <pivotArea type="data" outline="0" fieldPosition="0">
        <references count="2">
          <reference field="4294967294" count="1" selected="0">
            <x v="0"/>
          </reference>
          <reference field="7" count="1" selected="0">
            <x v="28"/>
          </reference>
        </references>
      </pivotArea>
    </chartFormat>
    <chartFormat chart="9" format="190" series="1">
      <pivotArea type="data" outline="0" fieldPosition="0">
        <references count="2">
          <reference field="4294967294" count="1" selected="0">
            <x v="0"/>
          </reference>
          <reference field="7" count="1" selected="0">
            <x v="29"/>
          </reference>
        </references>
      </pivotArea>
    </chartFormat>
    <chartFormat chart="9" format="191" series="1">
      <pivotArea type="data" outline="0" fieldPosition="0">
        <references count="2">
          <reference field="4294967294" count="1" selected="0">
            <x v="0"/>
          </reference>
          <reference field="7" count="1" selected="0">
            <x v="30"/>
          </reference>
        </references>
      </pivotArea>
    </chartFormat>
    <chartFormat chart="9" format="192" series="1">
      <pivotArea type="data" outline="0" fieldPosition="0">
        <references count="2">
          <reference field="4294967294" count="1" selected="0">
            <x v="0"/>
          </reference>
          <reference field="7" count="1" selected="0">
            <x v="31"/>
          </reference>
        </references>
      </pivotArea>
    </chartFormat>
    <chartFormat chart="9" format="193" series="1">
      <pivotArea type="data" outline="0" fieldPosition="0">
        <references count="2">
          <reference field="4294967294" count="1" selected="0">
            <x v="0"/>
          </reference>
          <reference field="7" count="1" selected="0">
            <x v="32"/>
          </reference>
        </references>
      </pivotArea>
    </chartFormat>
    <chartFormat chart="9" format="194" series="1">
      <pivotArea type="data" outline="0" fieldPosition="0">
        <references count="2">
          <reference field="4294967294" count="1" selected="0">
            <x v="0"/>
          </reference>
          <reference field="7" count="1" selected="0">
            <x v="33"/>
          </reference>
        </references>
      </pivotArea>
    </chartFormat>
    <chartFormat chart="9" format="195" series="1">
      <pivotArea type="data" outline="0" fieldPosition="0">
        <references count="2">
          <reference field="4294967294" count="1" selected="0">
            <x v="0"/>
          </reference>
          <reference field="7" count="1" selected="0">
            <x v="34"/>
          </reference>
        </references>
      </pivotArea>
    </chartFormat>
    <chartFormat chart="9" format="196" series="1">
      <pivotArea type="data" outline="0" fieldPosition="0">
        <references count="2">
          <reference field="4294967294" count="1" selected="0">
            <x v="0"/>
          </reference>
          <reference field="7" count="1" selected="0">
            <x v="35"/>
          </reference>
        </references>
      </pivotArea>
    </chartFormat>
    <chartFormat chart="9" format="197" series="1">
      <pivotArea type="data" outline="0" fieldPosition="0">
        <references count="2">
          <reference field="4294967294" count="1" selected="0">
            <x v="0"/>
          </reference>
          <reference field="7" count="1" selected="0">
            <x v="36"/>
          </reference>
        </references>
      </pivotArea>
    </chartFormat>
    <chartFormat chart="9" format="198" series="1">
      <pivotArea type="data" outline="0" fieldPosition="0">
        <references count="2">
          <reference field="4294967294" count="1" selected="0">
            <x v="0"/>
          </reference>
          <reference field="7" count="1" selected="0">
            <x v="37"/>
          </reference>
        </references>
      </pivotArea>
    </chartFormat>
    <chartFormat chart="9" format="199" series="1">
      <pivotArea type="data" outline="0" fieldPosition="0">
        <references count="2">
          <reference field="4294967294" count="1" selected="0">
            <x v="0"/>
          </reference>
          <reference field="7" count="1" selected="0">
            <x v="38"/>
          </reference>
        </references>
      </pivotArea>
    </chartFormat>
    <chartFormat chart="9" format="200" series="1">
      <pivotArea type="data" outline="0" fieldPosition="0">
        <references count="2">
          <reference field="4294967294" count="1" selected="0">
            <x v="0"/>
          </reference>
          <reference field="7" count="1" selected="0">
            <x v="39"/>
          </reference>
        </references>
      </pivotArea>
    </chartFormat>
    <chartFormat chart="9" format="201" series="1">
      <pivotArea type="data" outline="0" fieldPosition="0">
        <references count="2">
          <reference field="4294967294" count="1" selected="0">
            <x v="0"/>
          </reference>
          <reference field="7" count="1" selected="0">
            <x v="40"/>
          </reference>
        </references>
      </pivotArea>
    </chartFormat>
    <chartFormat chart="9" format="202" series="1">
      <pivotArea type="data" outline="0" fieldPosition="0">
        <references count="2">
          <reference field="4294967294" count="1" selected="0">
            <x v="0"/>
          </reference>
          <reference field="7" count="1" selected="0">
            <x v="41"/>
          </reference>
        </references>
      </pivotArea>
    </chartFormat>
    <chartFormat chart="9" format="203" series="1">
      <pivotArea type="data" outline="0" fieldPosition="0">
        <references count="2">
          <reference field="4294967294" count="1" selected="0">
            <x v="0"/>
          </reference>
          <reference field="7" count="1" selected="0">
            <x v="42"/>
          </reference>
        </references>
      </pivotArea>
    </chartFormat>
    <chartFormat chart="9" format="204" series="1">
      <pivotArea type="data" outline="0" fieldPosition="0">
        <references count="2">
          <reference field="4294967294" count="1" selected="0">
            <x v="0"/>
          </reference>
          <reference field="7" count="1" selected="0">
            <x v="43"/>
          </reference>
        </references>
      </pivotArea>
    </chartFormat>
    <chartFormat chart="9" format="205" series="1">
      <pivotArea type="data" outline="0" fieldPosition="0">
        <references count="2">
          <reference field="4294967294" count="1" selected="0">
            <x v="0"/>
          </reference>
          <reference field="7" count="1" selected="0">
            <x v="44"/>
          </reference>
        </references>
      </pivotArea>
    </chartFormat>
    <chartFormat chart="9" format="206" series="1">
      <pivotArea type="data" outline="0" fieldPosition="0">
        <references count="2">
          <reference field="4294967294" count="1" selected="0">
            <x v="0"/>
          </reference>
          <reference field="7" count="1" selected="0">
            <x v="45"/>
          </reference>
        </references>
      </pivotArea>
    </chartFormat>
    <chartFormat chart="9" format="207" series="1">
      <pivotArea type="data" outline="0" fieldPosition="0">
        <references count="2">
          <reference field="4294967294" count="1" selected="0">
            <x v="0"/>
          </reference>
          <reference field="7" count="1" selected="0">
            <x v="46"/>
          </reference>
        </references>
      </pivotArea>
    </chartFormat>
    <chartFormat chart="9" format="208" series="1">
      <pivotArea type="data" outline="0" fieldPosition="0">
        <references count="2">
          <reference field="4294967294" count="1" selected="0">
            <x v="0"/>
          </reference>
          <reference field="7" count="1" selected="0">
            <x v="47"/>
          </reference>
        </references>
      </pivotArea>
    </chartFormat>
    <chartFormat chart="9" format="209" series="1">
      <pivotArea type="data" outline="0" fieldPosition="0">
        <references count="2">
          <reference field="4294967294" count="1" selected="0">
            <x v="0"/>
          </reference>
          <reference field="7" count="1" selected="0">
            <x v="48"/>
          </reference>
        </references>
      </pivotArea>
    </chartFormat>
    <chartFormat chart="9" format="210" series="1">
      <pivotArea type="data" outline="0" fieldPosition="0">
        <references count="2">
          <reference field="4294967294" count="1" selected="0">
            <x v="0"/>
          </reference>
          <reference field="7" count="1" selected="0">
            <x v="49"/>
          </reference>
        </references>
      </pivotArea>
    </chartFormat>
    <chartFormat chart="9" format="211" series="1">
      <pivotArea type="data" outline="0" fieldPosition="0">
        <references count="2">
          <reference field="4294967294" count="1" selected="0">
            <x v="0"/>
          </reference>
          <reference field="7" count="1" selected="0">
            <x v="50"/>
          </reference>
        </references>
      </pivotArea>
    </chartFormat>
    <chartFormat chart="9" format="212" series="1">
      <pivotArea type="data" outline="0" fieldPosition="0">
        <references count="2">
          <reference field="4294967294" count="1" selected="0">
            <x v="0"/>
          </reference>
          <reference field="7" count="1" selected="0">
            <x v="51"/>
          </reference>
        </references>
      </pivotArea>
    </chartFormat>
    <chartFormat chart="9" format="213" series="1">
      <pivotArea type="data" outline="0" fieldPosition="0">
        <references count="2">
          <reference field="4294967294" count="1" selected="0">
            <x v="0"/>
          </reference>
          <reference field="7" count="1" selected="0">
            <x v="52"/>
          </reference>
        </references>
      </pivotArea>
    </chartFormat>
    <chartFormat chart="9" format="214" series="1">
      <pivotArea type="data" outline="0" fieldPosition="0">
        <references count="2">
          <reference field="4294967294" count="1" selected="0">
            <x v="0"/>
          </reference>
          <reference field="7" count="1" selected="0">
            <x v="53"/>
          </reference>
        </references>
      </pivotArea>
    </chartFormat>
    <chartFormat chart="9" format="215" series="1">
      <pivotArea type="data" outline="0" fieldPosition="0">
        <references count="2">
          <reference field="4294967294" count="1" selected="0">
            <x v="0"/>
          </reference>
          <reference field="7" count="1" selected="0">
            <x v="54"/>
          </reference>
        </references>
      </pivotArea>
    </chartFormat>
    <chartFormat chart="9" format="216" series="1">
      <pivotArea type="data" outline="0" fieldPosition="0">
        <references count="2">
          <reference field="4294967294" count="1" selected="0">
            <x v="0"/>
          </reference>
          <reference field="7" count="1" selected="0">
            <x v="55"/>
          </reference>
        </references>
      </pivotArea>
    </chartFormat>
    <chartFormat chart="9" format="217" series="1">
      <pivotArea type="data" outline="0" fieldPosition="0">
        <references count="2">
          <reference field="4294967294" count="1" selected="0">
            <x v="0"/>
          </reference>
          <reference field="7" count="1" selected="0">
            <x v="56"/>
          </reference>
        </references>
      </pivotArea>
    </chartFormat>
    <chartFormat chart="9" format="218" series="1">
      <pivotArea type="data" outline="0" fieldPosition="0">
        <references count="2">
          <reference field="4294967294" count="1" selected="0">
            <x v="0"/>
          </reference>
          <reference field="7" count="1" selected="0">
            <x v="57"/>
          </reference>
        </references>
      </pivotArea>
    </chartFormat>
    <chartFormat chart="9" format="219" series="1">
      <pivotArea type="data" outline="0" fieldPosition="0">
        <references count="2">
          <reference field="4294967294" count="1" selected="0">
            <x v="0"/>
          </reference>
          <reference field="7" count="1" selected="0">
            <x v="58"/>
          </reference>
        </references>
      </pivotArea>
    </chartFormat>
    <chartFormat chart="9" format="220" series="1">
      <pivotArea type="data" outline="0" fieldPosition="0">
        <references count="2">
          <reference field="4294967294" count="1" selected="0">
            <x v="0"/>
          </reference>
          <reference field="7" count="1" selected="0">
            <x v="59"/>
          </reference>
        </references>
      </pivotArea>
    </chartFormat>
    <chartFormat chart="9" format="221" series="1">
      <pivotArea type="data" outline="0" fieldPosition="0">
        <references count="2">
          <reference field="4294967294" count="1" selected="0">
            <x v="0"/>
          </reference>
          <reference field="7" count="1" selected="0">
            <x v="60"/>
          </reference>
        </references>
      </pivotArea>
    </chartFormat>
    <chartFormat chart="9" format="222" series="1">
      <pivotArea type="data" outline="0" fieldPosition="0">
        <references count="2">
          <reference field="4294967294" count="1" selected="0">
            <x v="0"/>
          </reference>
          <reference field="7" count="1" selected="0">
            <x v="61"/>
          </reference>
        </references>
      </pivotArea>
    </chartFormat>
    <chartFormat chart="9" format="223" series="1">
      <pivotArea type="data" outline="0" fieldPosition="0">
        <references count="2">
          <reference field="4294967294" count="1" selected="0">
            <x v="0"/>
          </reference>
          <reference field="7" count="1" selected="0">
            <x v="62"/>
          </reference>
        </references>
      </pivotArea>
    </chartFormat>
    <chartFormat chart="9" format="224" series="1">
      <pivotArea type="data" outline="0" fieldPosition="0">
        <references count="2">
          <reference field="4294967294" count="1" selected="0">
            <x v="0"/>
          </reference>
          <reference field="7" count="1" selected="0">
            <x v="63"/>
          </reference>
        </references>
      </pivotArea>
    </chartFormat>
    <chartFormat chart="9" format="225" series="1">
      <pivotArea type="data" outline="0" fieldPosition="0">
        <references count="2">
          <reference field="4294967294" count="1" selected="0">
            <x v="0"/>
          </reference>
          <reference field="7" count="1" selected="0">
            <x v="64"/>
          </reference>
        </references>
      </pivotArea>
    </chartFormat>
    <chartFormat chart="9" format="226" series="1">
      <pivotArea type="data" outline="0" fieldPosition="0">
        <references count="2">
          <reference field="4294967294" count="1" selected="0">
            <x v="0"/>
          </reference>
          <reference field="7" count="1" selected="0">
            <x v="65"/>
          </reference>
        </references>
      </pivotArea>
    </chartFormat>
    <chartFormat chart="9" format="227" series="1">
      <pivotArea type="data" outline="0" fieldPosition="0">
        <references count="2">
          <reference field="4294967294" count="1" selected="0">
            <x v="0"/>
          </reference>
          <reference field="7" count="1" selected="0">
            <x v="66"/>
          </reference>
        </references>
      </pivotArea>
    </chartFormat>
    <chartFormat chart="9" format="228" series="1">
      <pivotArea type="data" outline="0" fieldPosition="0">
        <references count="2">
          <reference field="4294967294" count="1" selected="0">
            <x v="0"/>
          </reference>
          <reference field="7" count="1" selected="0">
            <x v="67"/>
          </reference>
        </references>
      </pivotArea>
    </chartFormat>
    <chartFormat chart="9" format="229" series="1">
      <pivotArea type="data" outline="0" fieldPosition="0">
        <references count="2">
          <reference field="4294967294" count="1" selected="0">
            <x v="0"/>
          </reference>
          <reference field="7" count="1" selected="0">
            <x v="68"/>
          </reference>
        </references>
      </pivotArea>
    </chartFormat>
    <chartFormat chart="9" format="230" series="1">
      <pivotArea type="data" outline="0" fieldPosition="0">
        <references count="2">
          <reference field="4294967294" count="1" selected="0">
            <x v="0"/>
          </reference>
          <reference field="7" count="1" selected="0">
            <x v="69"/>
          </reference>
        </references>
      </pivotArea>
    </chartFormat>
    <chartFormat chart="9" format="231" series="1">
      <pivotArea type="data" outline="0" fieldPosition="0">
        <references count="2">
          <reference field="4294967294" count="1" selected="0">
            <x v="0"/>
          </reference>
          <reference field="7" count="1" selected="0">
            <x v="70"/>
          </reference>
        </references>
      </pivotArea>
    </chartFormat>
    <chartFormat chart="9" format="232" series="1">
      <pivotArea type="data" outline="0" fieldPosition="0">
        <references count="2">
          <reference field="4294967294" count="1" selected="0">
            <x v="0"/>
          </reference>
          <reference field="7" count="1" selected="0">
            <x v="71"/>
          </reference>
        </references>
      </pivotArea>
    </chartFormat>
    <chartFormat chart="9" format="233" series="1">
      <pivotArea type="data" outline="0" fieldPosition="0">
        <references count="2">
          <reference field="4294967294" count="1" selected="0">
            <x v="0"/>
          </reference>
          <reference field="7" count="1" selected="0">
            <x v="72"/>
          </reference>
        </references>
      </pivotArea>
    </chartFormat>
    <chartFormat chart="9" format="234" series="1">
      <pivotArea type="data" outline="0" fieldPosition="0">
        <references count="2">
          <reference field="4294967294" count="1" selected="0">
            <x v="0"/>
          </reference>
          <reference field="7" count="1" selected="0">
            <x v="73"/>
          </reference>
        </references>
      </pivotArea>
    </chartFormat>
    <chartFormat chart="9" format="235" series="1">
      <pivotArea type="data" outline="0" fieldPosition="0">
        <references count="2">
          <reference field="4294967294" count="1" selected="0">
            <x v="0"/>
          </reference>
          <reference field="7" count="1" selected="0">
            <x v="74"/>
          </reference>
        </references>
      </pivotArea>
    </chartFormat>
    <chartFormat chart="9" format="236" series="1">
      <pivotArea type="data" outline="0" fieldPosition="0">
        <references count="2">
          <reference field="4294967294" count="1" selected="0">
            <x v="0"/>
          </reference>
          <reference field="7" count="1" selected="0">
            <x v="75"/>
          </reference>
        </references>
      </pivotArea>
    </chartFormat>
    <chartFormat chart="9" format="237" series="1">
      <pivotArea type="data" outline="0" fieldPosition="0">
        <references count="2">
          <reference field="4294967294" count="1" selected="0">
            <x v="0"/>
          </reference>
          <reference field="7" count="1" selected="0">
            <x v="76"/>
          </reference>
        </references>
      </pivotArea>
    </chartFormat>
    <chartFormat chart="9" format="238" series="1">
      <pivotArea type="data" outline="0" fieldPosition="0">
        <references count="2">
          <reference field="4294967294" count="1" selected="0">
            <x v="0"/>
          </reference>
          <reference field="7" count="1" selected="0">
            <x v="77"/>
          </reference>
        </references>
      </pivotArea>
    </chartFormat>
    <chartFormat chart="9" format="239" series="1">
      <pivotArea type="data" outline="0" fieldPosition="0">
        <references count="2">
          <reference field="4294967294" count="1" selected="0">
            <x v="0"/>
          </reference>
          <reference field="7" count="1" selected="0">
            <x v="78"/>
          </reference>
        </references>
      </pivotArea>
    </chartFormat>
    <chartFormat chart="9" format="240" series="1">
      <pivotArea type="data" outline="0" fieldPosition="0">
        <references count="2">
          <reference field="4294967294" count="1" selected="0">
            <x v="0"/>
          </reference>
          <reference field="7" count="1" selected="0">
            <x v="79"/>
          </reference>
        </references>
      </pivotArea>
    </chartFormat>
    <chartFormat chart="0" format="81"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AE5EA32D-6A24-4E6B-91FF-6EA931A1BCDC}" sourceName="Loan_Type">
  <pivotTables>
    <pivotTable tabId="11" name="PivotTable2"/>
  </pivotTables>
  <data>
    <tabular pivotCacheId="875106405">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73B04004-5D84-4B33-A482-496C812FC213}" cache="Slicer_Loan_Type" caption="Loan_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1" xr10:uid="{0709B7C4-6817-44F4-A18E-577E71275C9F}" cache="Slicer_Loan_Type" caption="Loan_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46982-8C00-4377-8A5E-C9EF5071ADC7}" name="tblLoan" displayName="tblLoan" ref="A1:J101">
  <autoFilter ref="A1:J101" xr:uid="{C4A46982-8C00-4377-8A5E-C9EF5071ADC7}"/>
  <tableColumns count="10">
    <tableColumn id="1" xr3:uid="{C6040270-6044-4AB0-A175-29CF1C716C1F}" name="Loan_ID"/>
    <tableColumn id="2" xr3:uid="{B48360C4-8754-438E-BB9B-607212C5DE36}" name="Customer_Name"/>
    <tableColumn id="3" xr3:uid="{495F17D9-3805-4CDA-A23F-824A29F79FCB}" name="Loan_Type"/>
    <tableColumn id="4" xr3:uid="{2CCCD3B7-B502-497D-B2E0-73315D4CDDF2}" name="Loan_Amount"/>
    <tableColumn id="5" xr3:uid="{10DCC14F-D689-497D-846E-FD073ED30F9F}" name="Interest_Rate"/>
    <tableColumn id="6" xr3:uid="{FB26CFE1-9172-45D9-A4B0-BDE73F60C820}" name="Duration_Years"/>
    <tableColumn id="7" xr3:uid="{977F9B92-FE57-4187-9075-7DFDAC897A48}" name="EMI_Start_Date"/>
    <tableColumn id="8" xr3:uid="{9CD4C1A1-CC53-4C8A-99E8-234B3847F656}" name="Credit_Score"/>
    <tableColumn id="9" xr3:uid="{D5B873CD-5059-4456-80C5-CED700180253}" name="Loan_Status"/>
    <tableColumn id="10" xr3:uid="{6DE357E4-88DF-4440-A3DF-BAF05AAE5106}" name="New"/>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82CC-C105-435D-A9CD-1481C220A9D3}">
  <dimension ref="A3:L10"/>
  <sheetViews>
    <sheetView showGridLines="0" workbookViewId="0">
      <selection activeCell="N5" sqref="N5"/>
    </sheetView>
  </sheetViews>
  <sheetFormatPr defaultRowHeight="14.5" x14ac:dyDescent="0.35"/>
  <cols>
    <col min="1" max="1" width="8.7265625" style="32"/>
    <col min="2" max="8" width="17.08984375" style="32" customWidth="1"/>
    <col min="9" max="12" width="8.7265625" style="32"/>
  </cols>
  <sheetData>
    <row r="3" spans="2:8" ht="66.5" customHeight="1" x14ac:dyDescent="0.35">
      <c r="B3" s="33" t="s">
        <v>648</v>
      </c>
      <c r="C3" s="33"/>
      <c r="D3" s="33"/>
      <c r="E3" s="33"/>
      <c r="F3" s="33"/>
      <c r="G3" s="33"/>
      <c r="H3" s="33"/>
    </row>
    <row r="4" spans="2:8" ht="46.5" customHeight="1" x14ac:dyDescent="0.35">
      <c r="C4" s="34" t="s">
        <v>654</v>
      </c>
      <c r="D4" s="34"/>
      <c r="E4" s="34"/>
      <c r="F4" s="34"/>
      <c r="G4" s="34"/>
    </row>
    <row r="5" spans="2:8" ht="46.5" customHeight="1" x14ac:dyDescent="0.35">
      <c r="C5" s="34" t="s">
        <v>653</v>
      </c>
      <c r="D5" s="34"/>
      <c r="E5" s="34"/>
      <c r="F5" s="34"/>
      <c r="G5" s="34"/>
    </row>
    <row r="6" spans="2:8" ht="46.5" customHeight="1" x14ac:dyDescent="0.35">
      <c r="C6" s="34" t="s">
        <v>649</v>
      </c>
      <c r="D6" s="34"/>
      <c r="E6" s="34"/>
      <c r="F6" s="34"/>
      <c r="G6" s="34"/>
    </row>
    <row r="7" spans="2:8" ht="46.5" customHeight="1" x14ac:dyDescent="0.35">
      <c r="C7" s="34" t="s">
        <v>650</v>
      </c>
      <c r="D7" s="34"/>
      <c r="E7" s="34"/>
      <c r="F7" s="34"/>
      <c r="G7" s="34"/>
    </row>
    <row r="8" spans="2:8" ht="46.5" customHeight="1" x14ac:dyDescent="0.35">
      <c r="C8" s="34" t="s">
        <v>651</v>
      </c>
      <c r="D8" s="34"/>
      <c r="E8" s="34"/>
      <c r="F8" s="34"/>
      <c r="G8" s="34"/>
    </row>
    <row r="9" spans="2:8" ht="46.5" customHeight="1" x14ac:dyDescent="0.35">
      <c r="C9" s="34" t="s">
        <v>652</v>
      </c>
      <c r="D9" s="34"/>
      <c r="E9" s="34"/>
      <c r="F9" s="34"/>
      <c r="G9" s="34"/>
    </row>
    <row r="10" spans="2:8" ht="46.5" customHeight="1" x14ac:dyDescent="0.35">
      <c r="C10" s="34" t="s">
        <v>284</v>
      </c>
      <c r="D10" s="34"/>
      <c r="E10" s="34"/>
      <c r="F10" s="34"/>
      <c r="G10" s="34"/>
    </row>
  </sheetData>
  <mergeCells count="8">
    <mergeCell ref="C10:G10"/>
    <mergeCell ref="C5:G5"/>
    <mergeCell ref="C4:G4"/>
    <mergeCell ref="B3:H3"/>
    <mergeCell ref="C6:G6"/>
    <mergeCell ref="C7:G7"/>
    <mergeCell ref="C8:G8"/>
    <mergeCell ref="C9:G9"/>
  </mergeCells>
  <hyperlinks>
    <hyperlink ref="C4:G4" location="Instructions!A1" display="Instructions" xr:uid="{92F941B6-87B7-4EA2-8BE8-5ED76D53884A}"/>
    <hyperlink ref="C5:G5" location="Dashboard!A1" display="Dashboard" xr:uid="{CFA16EFA-CB5F-4F77-BDCD-6A3C00FED67A}"/>
    <hyperlink ref="C6:G6" location="'Raw Data'!A1" display="Raw Data" xr:uid="{30F03D7D-7786-4CFF-B61E-E7291216E0EA}"/>
    <hyperlink ref="C7:G7" location="'Cleaning Tasks'!A1" display="Cleaning Tasks" xr:uid="{07084232-75FF-4ED4-9439-3FF95D129D9B}"/>
    <hyperlink ref="C8:G8" location="'Cleaned Data'!A1" display="Cleaned Data" xr:uid="{C17E5AEB-4891-4A2A-8505-078C6411536A}"/>
    <hyperlink ref="C9:G9" location="'EMI Calculation'!A1" display="EMI Calculation" xr:uid="{253E3900-7E11-4873-B21A-5144051EEDEC}"/>
    <hyperlink ref="C10:G10" location="'Amortization Table'!A1" display="Amortization Table" xr:uid="{9C6127CE-FE51-4A26-9837-ABBF4954B7C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2616-AEE6-48D6-A53D-99CBC1790D26}">
  <dimension ref="A1:I106"/>
  <sheetViews>
    <sheetView showGridLines="0" workbookViewId="0">
      <selection activeCell="J3" sqref="J3"/>
    </sheetView>
  </sheetViews>
  <sheetFormatPr defaultRowHeight="14.5" x14ac:dyDescent="0.35"/>
  <cols>
    <col min="1" max="1" width="7.453125" bestFit="1" customWidth="1"/>
    <col min="2" max="2" width="14.81640625" bestFit="1" customWidth="1"/>
    <col min="3" max="3" width="15.81640625" bestFit="1" customWidth="1"/>
    <col min="4" max="4" width="12.1796875" bestFit="1" customWidth="1"/>
    <col min="5" max="5" width="11.90625" bestFit="1" customWidth="1"/>
    <col min="6" max="6" width="13.6328125" bestFit="1" customWidth="1"/>
    <col min="7" max="7" width="10.08984375" bestFit="1" customWidth="1"/>
    <col min="8" max="8" width="11.54296875" bestFit="1" customWidth="1"/>
    <col min="9" max="9" width="7.26953125" bestFit="1" customWidth="1"/>
  </cols>
  <sheetData>
    <row r="1" spans="1:9" x14ac:dyDescent="0.35">
      <c r="A1" s="6" t="s">
        <v>263</v>
      </c>
      <c r="B1" s="6" t="s">
        <v>264</v>
      </c>
      <c r="C1" s="6" t="s">
        <v>265</v>
      </c>
      <c r="D1" s="6" t="s">
        <v>266</v>
      </c>
      <c r="E1" s="6" t="s">
        <v>267</v>
      </c>
      <c r="F1" s="6" t="s">
        <v>292</v>
      </c>
      <c r="G1" s="6" t="s">
        <v>293</v>
      </c>
      <c r="H1" s="6" t="s">
        <v>270</v>
      </c>
      <c r="I1" s="6" t="s">
        <v>294</v>
      </c>
    </row>
    <row r="2" spans="1:9" x14ac:dyDescent="0.35">
      <c r="A2" s="5" t="s">
        <v>0</v>
      </c>
      <c r="B2" s="5" t="s">
        <v>28</v>
      </c>
      <c r="C2" s="5" t="s">
        <v>32</v>
      </c>
      <c r="D2" s="5" t="s">
        <v>295</v>
      </c>
      <c r="E2" s="5" t="s">
        <v>296</v>
      </c>
      <c r="F2" s="5">
        <v>34</v>
      </c>
      <c r="G2" s="5" t="s">
        <v>297</v>
      </c>
      <c r="H2" s="5">
        <v>776</v>
      </c>
      <c r="I2" s="5" t="s">
        <v>9</v>
      </c>
    </row>
    <row r="3" spans="1:9" x14ac:dyDescent="0.35">
      <c r="A3" s="5" t="s">
        <v>5</v>
      </c>
      <c r="B3" s="5" t="s">
        <v>28</v>
      </c>
      <c r="C3" s="5" t="s">
        <v>7</v>
      </c>
      <c r="D3" s="5" t="s">
        <v>298</v>
      </c>
      <c r="E3" s="5" t="s">
        <v>299</v>
      </c>
      <c r="F3" s="5">
        <v>63</v>
      </c>
      <c r="G3" s="5" t="s">
        <v>300</v>
      </c>
      <c r="H3" s="5">
        <v>692</v>
      </c>
      <c r="I3" s="5" t="s">
        <v>4</v>
      </c>
    </row>
    <row r="4" spans="1:9" x14ac:dyDescent="0.35">
      <c r="A4" s="5" t="s">
        <v>10</v>
      </c>
      <c r="B4" s="5" t="s">
        <v>301</v>
      </c>
      <c r="C4" s="5"/>
      <c r="D4" s="5" t="s">
        <v>302</v>
      </c>
      <c r="E4" s="5" t="s">
        <v>303</v>
      </c>
      <c r="F4" s="5">
        <v>89</v>
      </c>
      <c r="G4" s="5" t="s">
        <v>297</v>
      </c>
      <c r="H4" s="5">
        <v>688</v>
      </c>
      <c r="I4" s="5" t="s">
        <v>304</v>
      </c>
    </row>
    <row r="5" spans="1:9" x14ac:dyDescent="0.35">
      <c r="A5" s="5" t="s">
        <v>14</v>
      </c>
      <c r="B5" s="5" t="s">
        <v>11</v>
      </c>
      <c r="C5" s="5" t="s">
        <v>2</v>
      </c>
      <c r="D5" s="5" t="s">
        <v>305</v>
      </c>
      <c r="E5" s="5" t="s">
        <v>306</v>
      </c>
      <c r="F5" s="5">
        <v>67</v>
      </c>
      <c r="G5" s="5" t="s">
        <v>307</v>
      </c>
      <c r="H5" s="5">
        <v>763</v>
      </c>
      <c r="I5" s="5" t="s">
        <v>4</v>
      </c>
    </row>
    <row r="6" spans="1:9" x14ac:dyDescent="0.35">
      <c r="A6" s="5" t="s">
        <v>16</v>
      </c>
      <c r="B6" s="5" t="s">
        <v>130</v>
      </c>
      <c r="C6" s="5" t="s">
        <v>7</v>
      </c>
      <c r="D6" s="5" t="s">
        <v>308</v>
      </c>
      <c r="E6" s="5" t="s">
        <v>309</v>
      </c>
      <c r="F6" s="5">
        <v>82</v>
      </c>
      <c r="G6" s="5" t="s">
        <v>310</v>
      </c>
      <c r="H6" s="5">
        <v>713</v>
      </c>
      <c r="I6" s="5" t="s">
        <v>4</v>
      </c>
    </row>
    <row r="7" spans="1:9" x14ac:dyDescent="0.35">
      <c r="A7" s="5" t="s">
        <v>20</v>
      </c>
      <c r="B7" s="5" t="s">
        <v>311</v>
      </c>
      <c r="C7" s="5" t="s">
        <v>25</v>
      </c>
      <c r="D7" s="5" t="s">
        <v>312</v>
      </c>
      <c r="E7" s="5" t="s">
        <v>313</v>
      </c>
      <c r="F7" s="5">
        <v>55</v>
      </c>
      <c r="G7" s="5" t="s">
        <v>314</v>
      </c>
      <c r="H7" s="5"/>
      <c r="I7" s="5" t="s">
        <v>4</v>
      </c>
    </row>
    <row r="8" spans="1:9" x14ac:dyDescent="0.35">
      <c r="A8" s="5" t="s">
        <v>23</v>
      </c>
      <c r="B8" s="5" t="s">
        <v>315</v>
      </c>
      <c r="C8" s="5" t="s">
        <v>25</v>
      </c>
      <c r="D8" s="5" t="s">
        <v>316</v>
      </c>
      <c r="E8" s="5" t="s">
        <v>317</v>
      </c>
      <c r="F8" s="5">
        <v>94</v>
      </c>
      <c r="G8" s="5" t="s">
        <v>318</v>
      </c>
      <c r="H8" s="5">
        <v>871</v>
      </c>
      <c r="I8" s="5" t="s">
        <v>9</v>
      </c>
    </row>
    <row r="9" spans="1:9" x14ac:dyDescent="0.35">
      <c r="A9" s="5" t="s">
        <v>27</v>
      </c>
      <c r="B9" s="5" t="s">
        <v>31</v>
      </c>
      <c r="C9" s="5" t="s">
        <v>7</v>
      </c>
      <c r="D9" s="5" t="s">
        <v>319</v>
      </c>
      <c r="E9" s="5" t="s">
        <v>320</v>
      </c>
      <c r="F9" s="5">
        <v>75</v>
      </c>
      <c r="G9" s="5" t="s">
        <v>321</v>
      </c>
      <c r="H9" s="5">
        <v>839</v>
      </c>
      <c r="I9" s="5" t="s">
        <v>9</v>
      </c>
    </row>
    <row r="10" spans="1:9" x14ac:dyDescent="0.35">
      <c r="A10" s="5" t="s">
        <v>30</v>
      </c>
      <c r="B10" s="5" t="s">
        <v>61</v>
      </c>
      <c r="C10" s="5" t="s">
        <v>32</v>
      </c>
      <c r="D10" s="5" t="s">
        <v>322</v>
      </c>
      <c r="E10" s="5" t="s">
        <v>323</v>
      </c>
      <c r="F10" s="5">
        <v>63</v>
      </c>
      <c r="G10" s="5" t="s">
        <v>324</v>
      </c>
      <c r="H10" s="5">
        <v>686</v>
      </c>
      <c r="I10" s="5" t="s">
        <v>19</v>
      </c>
    </row>
    <row r="11" spans="1:9" x14ac:dyDescent="0.35">
      <c r="A11" s="5" t="s">
        <v>34</v>
      </c>
      <c r="B11" s="5" t="s">
        <v>31</v>
      </c>
      <c r="C11" s="5" t="s">
        <v>25</v>
      </c>
      <c r="D11" s="5" t="s">
        <v>325</v>
      </c>
      <c r="E11" s="5" t="s">
        <v>326</v>
      </c>
      <c r="F11" s="5">
        <v>27</v>
      </c>
      <c r="G11" s="5" t="s">
        <v>327</v>
      </c>
      <c r="H11" s="5">
        <v>855</v>
      </c>
      <c r="I11" s="5" t="s">
        <v>328</v>
      </c>
    </row>
    <row r="12" spans="1:9" x14ac:dyDescent="0.35">
      <c r="A12" s="5" t="s">
        <v>36</v>
      </c>
      <c r="B12" s="5" t="s">
        <v>28</v>
      </c>
      <c r="C12" s="5" t="s">
        <v>32</v>
      </c>
      <c r="D12" s="5" t="s">
        <v>329</v>
      </c>
      <c r="E12" s="5" t="s">
        <v>330</v>
      </c>
      <c r="F12" s="5">
        <v>20</v>
      </c>
      <c r="G12" s="5" t="s">
        <v>331</v>
      </c>
      <c r="H12" s="5">
        <v>847</v>
      </c>
      <c r="I12" s="5" t="s">
        <v>9</v>
      </c>
    </row>
    <row r="13" spans="1:9" x14ac:dyDescent="0.35">
      <c r="A13" s="5" t="s">
        <v>39</v>
      </c>
      <c r="B13" s="5" t="s">
        <v>332</v>
      </c>
      <c r="C13" s="5"/>
      <c r="D13" s="5" t="s">
        <v>333</v>
      </c>
      <c r="E13" s="5" t="s">
        <v>334</v>
      </c>
      <c r="F13" s="5">
        <v>105</v>
      </c>
      <c r="G13" s="5" t="s">
        <v>335</v>
      </c>
      <c r="H13" s="5">
        <v>827</v>
      </c>
      <c r="I13" s="5" t="s">
        <v>19</v>
      </c>
    </row>
    <row r="14" spans="1:9" x14ac:dyDescent="0.35">
      <c r="A14" s="5" t="s">
        <v>42</v>
      </c>
      <c r="B14" s="5" t="s">
        <v>17</v>
      </c>
      <c r="C14" s="5" t="s">
        <v>2</v>
      </c>
      <c r="D14" s="5" t="s">
        <v>336</v>
      </c>
      <c r="E14" s="5" t="s">
        <v>337</v>
      </c>
      <c r="F14" s="5">
        <v>43</v>
      </c>
      <c r="G14" s="5" t="s">
        <v>338</v>
      </c>
      <c r="H14" s="5">
        <v>662</v>
      </c>
      <c r="I14" s="5" t="s">
        <v>9</v>
      </c>
    </row>
    <row r="15" spans="1:9" x14ac:dyDescent="0.35">
      <c r="A15" s="5" t="s">
        <v>45</v>
      </c>
      <c r="B15" s="5" t="s">
        <v>31</v>
      </c>
      <c r="C15" s="5" t="s">
        <v>7</v>
      </c>
      <c r="D15" s="5" t="s">
        <v>339</v>
      </c>
      <c r="E15" s="5" t="s">
        <v>340</v>
      </c>
      <c r="F15" s="5">
        <v>78</v>
      </c>
      <c r="G15" s="5" t="s">
        <v>341</v>
      </c>
      <c r="H15" s="5">
        <v>694</v>
      </c>
      <c r="I15" s="5" t="s">
        <v>19</v>
      </c>
    </row>
    <row r="16" spans="1:9" x14ac:dyDescent="0.35">
      <c r="A16" s="5" t="s">
        <v>48</v>
      </c>
      <c r="B16" s="5" t="s">
        <v>17</v>
      </c>
      <c r="C16" s="5" t="s">
        <v>12</v>
      </c>
      <c r="D16" s="5" t="s">
        <v>342</v>
      </c>
      <c r="E16" s="5" t="s">
        <v>343</v>
      </c>
      <c r="F16" s="5">
        <v>30</v>
      </c>
      <c r="G16" s="5" t="s">
        <v>344</v>
      </c>
      <c r="H16" s="5">
        <v>744</v>
      </c>
      <c r="I16" s="5" t="s">
        <v>9</v>
      </c>
    </row>
    <row r="17" spans="1:9" x14ac:dyDescent="0.35">
      <c r="A17" s="5" t="s">
        <v>51</v>
      </c>
      <c r="B17" s="5" t="s">
        <v>11</v>
      </c>
      <c r="C17" s="5" t="s">
        <v>345</v>
      </c>
      <c r="D17" s="5" t="s">
        <v>346</v>
      </c>
      <c r="E17" s="5" t="s">
        <v>347</v>
      </c>
      <c r="F17" s="5">
        <v>12</v>
      </c>
      <c r="G17" s="5" t="s">
        <v>348</v>
      </c>
      <c r="H17" s="5">
        <v>652</v>
      </c>
      <c r="I17" s="5" t="s">
        <v>19</v>
      </c>
    </row>
    <row r="18" spans="1:9" x14ac:dyDescent="0.35">
      <c r="A18" s="5" t="s">
        <v>54</v>
      </c>
      <c r="B18" s="5" t="s">
        <v>11</v>
      </c>
      <c r="C18" s="5" t="s">
        <v>12</v>
      </c>
      <c r="D18" s="5" t="s">
        <v>349</v>
      </c>
      <c r="E18" s="5" t="s">
        <v>350</v>
      </c>
      <c r="F18" s="5">
        <v>88</v>
      </c>
      <c r="G18" s="5" t="s">
        <v>351</v>
      </c>
      <c r="H18" s="5">
        <v>683</v>
      </c>
      <c r="I18" s="5" t="s">
        <v>4</v>
      </c>
    </row>
    <row r="19" spans="1:9" x14ac:dyDescent="0.35">
      <c r="A19" s="5" t="s">
        <v>57</v>
      </c>
      <c r="B19" s="5" t="s">
        <v>135</v>
      </c>
      <c r="C19" s="5" t="s">
        <v>12</v>
      </c>
      <c r="D19" s="5" t="s">
        <v>352</v>
      </c>
      <c r="E19" s="5" t="s">
        <v>353</v>
      </c>
      <c r="F19" s="5">
        <v>25</v>
      </c>
      <c r="G19" s="5" t="s">
        <v>354</v>
      </c>
      <c r="H19" s="5">
        <v>747</v>
      </c>
      <c r="I19" s="5" t="s">
        <v>9</v>
      </c>
    </row>
    <row r="20" spans="1:9" x14ac:dyDescent="0.35">
      <c r="A20" s="5" t="s">
        <v>60</v>
      </c>
      <c r="B20" s="5" t="s">
        <v>301</v>
      </c>
      <c r="C20" s="5" t="s">
        <v>32</v>
      </c>
      <c r="D20" s="5" t="s">
        <v>355</v>
      </c>
      <c r="E20" s="5" t="s">
        <v>356</v>
      </c>
      <c r="F20" s="5">
        <v>35</v>
      </c>
      <c r="G20" s="5" t="s">
        <v>357</v>
      </c>
      <c r="H20" s="5">
        <v>797</v>
      </c>
      <c r="I20" s="5" t="s">
        <v>19</v>
      </c>
    </row>
    <row r="21" spans="1:9" x14ac:dyDescent="0.35">
      <c r="A21" s="5" t="s">
        <v>63</v>
      </c>
      <c r="B21" s="5" t="s">
        <v>130</v>
      </c>
      <c r="C21" s="5" t="s">
        <v>2</v>
      </c>
      <c r="D21" s="5" t="s">
        <v>358</v>
      </c>
      <c r="E21" s="5" t="s">
        <v>359</v>
      </c>
      <c r="F21" s="5">
        <v>67</v>
      </c>
      <c r="G21" s="5" t="s">
        <v>297</v>
      </c>
      <c r="H21" s="5">
        <v>845</v>
      </c>
      <c r="I21" s="5" t="s">
        <v>4</v>
      </c>
    </row>
    <row r="22" spans="1:9" x14ac:dyDescent="0.35">
      <c r="A22" s="5" t="s">
        <v>66</v>
      </c>
      <c r="B22" s="5" t="s">
        <v>360</v>
      </c>
      <c r="C22" s="5" t="s">
        <v>2</v>
      </c>
      <c r="D22" s="5" t="s">
        <v>361</v>
      </c>
      <c r="E22" s="5" t="s">
        <v>320</v>
      </c>
      <c r="F22" s="5">
        <v>86</v>
      </c>
      <c r="G22" s="5" t="s">
        <v>341</v>
      </c>
      <c r="H22" s="5">
        <v>825</v>
      </c>
      <c r="I22" s="5" t="s">
        <v>4</v>
      </c>
    </row>
    <row r="23" spans="1:9" x14ac:dyDescent="0.35">
      <c r="A23" s="5" t="s">
        <v>68</v>
      </c>
      <c r="B23" s="5" t="s">
        <v>31</v>
      </c>
      <c r="C23" s="5" t="s">
        <v>12</v>
      </c>
      <c r="D23" s="5" t="s">
        <v>362</v>
      </c>
      <c r="E23" s="5" t="s">
        <v>363</v>
      </c>
      <c r="F23" s="5">
        <v>120</v>
      </c>
      <c r="G23" s="5" t="s">
        <v>364</v>
      </c>
      <c r="H23" s="5">
        <v>735</v>
      </c>
      <c r="I23" s="5" t="s">
        <v>9</v>
      </c>
    </row>
    <row r="24" spans="1:9" x14ac:dyDescent="0.35">
      <c r="A24" s="5" t="s">
        <v>71</v>
      </c>
      <c r="B24" s="5" t="s">
        <v>11</v>
      </c>
      <c r="C24" s="5" t="s">
        <v>2</v>
      </c>
      <c r="D24" s="5" t="s">
        <v>365</v>
      </c>
      <c r="E24" s="5" t="s">
        <v>366</v>
      </c>
      <c r="F24" s="5">
        <v>80</v>
      </c>
      <c r="G24" s="5" t="s">
        <v>367</v>
      </c>
      <c r="H24" s="5">
        <v>766</v>
      </c>
      <c r="I24" s="5" t="s">
        <v>19</v>
      </c>
    </row>
    <row r="25" spans="1:9" x14ac:dyDescent="0.35">
      <c r="A25" s="5" t="s">
        <v>73</v>
      </c>
      <c r="B25" s="5" t="s">
        <v>17</v>
      </c>
      <c r="C25" s="5" t="s">
        <v>7</v>
      </c>
      <c r="D25" s="5" t="s">
        <v>368</v>
      </c>
      <c r="E25" s="5" t="s">
        <v>369</v>
      </c>
      <c r="F25" s="5">
        <v>91</v>
      </c>
      <c r="G25" s="5" t="s">
        <v>370</v>
      </c>
      <c r="H25" s="5">
        <v>786</v>
      </c>
      <c r="I25" s="5" t="s">
        <v>9</v>
      </c>
    </row>
    <row r="26" spans="1:9" x14ac:dyDescent="0.35">
      <c r="A26" s="5" t="s">
        <v>76</v>
      </c>
      <c r="B26" s="5" t="s">
        <v>11</v>
      </c>
      <c r="C26" s="5" t="s">
        <v>32</v>
      </c>
      <c r="D26" s="5" t="s">
        <v>371</v>
      </c>
      <c r="E26" s="5" t="s">
        <v>372</v>
      </c>
      <c r="F26" s="5">
        <v>48</v>
      </c>
      <c r="G26" s="5" t="s">
        <v>373</v>
      </c>
      <c r="H26" s="5">
        <v>669</v>
      </c>
      <c r="I26" s="5" t="s">
        <v>4</v>
      </c>
    </row>
    <row r="27" spans="1:9" x14ac:dyDescent="0.35">
      <c r="A27" s="5" t="s">
        <v>79</v>
      </c>
      <c r="B27" s="5" t="s">
        <v>130</v>
      </c>
      <c r="C27" s="5" t="s">
        <v>12</v>
      </c>
      <c r="D27" s="5" t="s">
        <v>374</v>
      </c>
      <c r="E27" s="5" t="s">
        <v>375</v>
      </c>
      <c r="F27" s="5">
        <v>53</v>
      </c>
      <c r="G27" s="5" t="s">
        <v>376</v>
      </c>
      <c r="H27" s="5">
        <v>654</v>
      </c>
      <c r="I27" s="5" t="s">
        <v>19</v>
      </c>
    </row>
    <row r="28" spans="1:9" x14ac:dyDescent="0.35">
      <c r="A28" s="5" t="s">
        <v>82</v>
      </c>
      <c r="B28" s="5" t="s">
        <v>17</v>
      </c>
      <c r="C28" s="5" t="s">
        <v>7</v>
      </c>
      <c r="D28" s="5" t="s">
        <v>377</v>
      </c>
      <c r="E28" s="5" t="s">
        <v>378</v>
      </c>
      <c r="F28" s="5">
        <v>40</v>
      </c>
      <c r="G28" s="5" t="s">
        <v>379</v>
      </c>
      <c r="H28" s="5">
        <v>813</v>
      </c>
      <c r="I28" s="5" t="s">
        <v>19</v>
      </c>
    </row>
    <row r="29" spans="1:9" x14ac:dyDescent="0.35">
      <c r="A29" s="5" t="s">
        <v>85</v>
      </c>
      <c r="B29" s="5" t="s">
        <v>31</v>
      </c>
      <c r="C29" s="5" t="s">
        <v>25</v>
      </c>
      <c r="D29" s="5" t="s">
        <v>380</v>
      </c>
      <c r="E29" s="5" t="s">
        <v>381</v>
      </c>
      <c r="F29" s="5">
        <v>20</v>
      </c>
      <c r="G29" s="5" t="s">
        <v>382</v>
      </c>
      <c r="H29" s="5">
        <v>707</v>
      </c>
      <c r="I29" s="5" t="s">
        <v>9</v>
      </c>
    </row>
    <row r="30" spans="1:9" x14ac:dyDescent="0.35">
      <c r="A30" s="5" t="s">
        <v>88</v>
      </c>
      <c r="B30" s="5" t="s">
        <v>61</v>
      </c>
      <c r="C30" s="5" t="s">
        <v>7</v>
      </c>
      <c r="D30" s="5" t="s">
        <v>383</v>
      </c>
      <c r="E30" s="5" t="s">
        <v>384</v>
      </c>
      <c r="F30" s="5">
        <v>95</v>
      </c>
      <c r="G30" s="5" t="s">
        <v>307</v>
      </c>
      <c r="H30" s="5">
        <v>746</v>
      </c>
      <c r="I30" s="5" t="s">
        <v>19</v>
      </c>
    </row>
    <row r="31" spans="1:9" x14ac:dyDescent="0.35">
      <c r="A31" s="5" t="s">
        <v>91</v>
      </c>
      <c r="B31" s="5" t="s">
        <v>37</v>
      </c>
      <c r="C31" s="5" t="s">
        <v>32</v>
      </c>
      <c r="D31" s="5" t="s">
        <v>385</v>
      </c>
      <c r="E31" s="5" t="s">
        <v>386</v>
      </c>
      <c r="F31" s="5">
        <v>43</v>
      </c>
      <c r="G31" s="5" t="s">
        <v>387</v>
      </c>
      <c r="H31" s="5">
        <v>767</v>
      </c>
      <c r="I31" s="5" t="s">
        <v>304</v>
      </c>
    </row>
    <row r="32" spans="1:9" x14ac:dyDescent="0.35">
      <c r="A32" s="5" t="s">
        <v>94</v>
      </c>
      <c r="B32" s="5" t="s">
        <v>130</v>
      </c>
      <c r="C32" s="5" t="s">
        <v>2</v>
      </c>
      <c r="D32" s="5" t="s">
        <v>388</v>
      </c>
      <c r="E32" s="5" t="s">
        <v>389</v>
      </c>
      <c r="F32" s="5">
        <v>69</v>
      </c>
      <c r="G32" s="5" t="s">
        <v>390</v>
      </c>
      <c r="H32" s="5">
        <v>783</v>
      </c>
      <c r="I32" s="5" t="s">
        <v>4</v>
      </c>
    </row>
    <row r="33" spans="1:9" x14ac:dyDescent="0.35">
      <c r="A33" s="5"/>
      <c r="B33" s="5" t="s">
        <v>135</v>
      </c>
      <c r="C33" s="5" t="s">
        <v>25</v>
      </c>
      <c r="D33" s="5" t="s">
        <v>391</v>
      </c>
      <c r="E33" s="5" t="s">
        <v>392</v>
      </c>
      <c r="F33" s="5">
        <v>13</v>
      </c>
      <c r="G33" s="5" t="s">
        <v>393</v>
      </c>
      <c r="H33" s="5">
        <v>884</v>
      </c>
      <c r="I33" s="5" t="s">
        <v>9</v>
      </c>
    </row>
    <row r="34" spans="1:9" x14ac:dyDescent="0.35">
      <c r="A34" s="5" t="s">
        <v>99</v>
      </c>
      <c r="B34" s="5" t="s">
        <v>6</v>
      </c>
      <c r="C34" s="5" t="s">
        <v>2</v>
      </c>
      <c r="D34" s="5" t="s">
        <v>394</v>
      </c>
      <c r="E34" s="5" t="s">
        <v>395</v>
      </c>
      <c r="F34" s="5">
        <v>14</v>
      </c>
      <c r="G34" s="5" t="s">
        <v>396</v>
      </c>
      <c r="H34" s="5">
        <v>793</v>
      </c>
      <c r="I34" s="5" t="s">
        <v>19</v>
      </c>
    </row>
    <row r="35" spans="1:9" x14ac:dyDescent="0.35">
      <c r="A35" s="5" t="s">
        <v>102</v>
      </c>
      <c r="B35" s="5" t="s">
        <v>6</v>
      </c>
      <c r="C35" s="5" t="s">
        <v>7</v>
      </c>
      <c r="D35" s="5" t="s">
        <v>397</v>
      </c>
      <c r="E35" s="5" t="s">
        <v>398</v>
      </c>
      <c r="F35" s="5">
        <v>95</v>
      </c>
      <c r="G35" s="5" t="s">
        <v>399</v>
      </c>
      <c r="H35" s="5">
        <v>895</v>
      </c>
      <c r="I35" s="5" t="s">
        <v>9</v>
      </c>
    </row>
    <row r="36" spans="1:9" x14ac:dyDescent="0.35">
      <c r="A36" s="5" t="s">
        <v>105</v>
      </c>
      <c r="B36" s="5" t="s">
        <v>1</v>
      </c>
      <c r="C36" s="5" t="s">
        <v>345</v>
      </c>
      <c r="D36" s="5" t="s">
        <v>400</v>
      </c>
      <c r="E36" s="5" t="s">
        <v>401</v>
      </c>
      <c r="F36" s="5">
        <v>111</v>
      </c>
      <c r="G36" s="5" t="s">
        <v>402</v>
      </c>
      <c r="H36" s="5">
        <v>834</v>
      </c>
      <c r="I36" s="5" t="s">
        <v>9</v>
      </c>
    </row>
    <row r="37" spans="1:9" x14ac:dyDescent="0.35">
      <c r="A37" s="5" t="s">
        <v>108</v>
      </c>
      <c r="B37" s="5" t="s">
        <v>11</v>
      </c>
      <c r="C37" s="5" t="s">
        <v>403</v>
      </c>
      <c r="D37" s="5" t="s">
        <v>404</v>
      </c>
      <c r="E37" s="5" t="s">
        <v>405</v>
      </c>
      <c r="F37" s="5">
        <v>50</v>
      </c>
      <c r="G37" s="5" t="s">
        <v>406</v>
      </c>
      <c r="H37" s="5">
        <v>675</v>
      </c>
      <c r="I37" s="5" t="s">
        <v>9</v>
      </c>
    </row>
    <row r="38" spans="1:9" x14ac:dyDescent="0.35">
      <c r="A38" s="5" t="s">
        <v>110</v>
      </c>
      <c r="B38" s="5" t="s">
        <v>311</v>
      </c>
      <c r="C38" s="5" t="s">
        <v>2</v>
      </c>
      <c r="D38" s="5" t="s">
        <v>407</v>
      </c>
      <c r="E38" s="5" t="s">
        <v>408</v>
      </c>
      <c r="F38" s="5">
        <v>40</v>
      </c>
      <c r="G38" s="5" t="s">
        <v>409</v>
      </c>
      <c r="H38" s="5">
        <v>653</v>
      </c>
      <c r="I38" s="5" t="s">
        <v>410</v>
      </c>
    </row>
    <row r="39" spans="1:9" x14ac:dyDescent="0.35">
      <c r="A39" s="5" t="s">
        <v>112</v>
      </c>
      <c r="B39" s="5" t="s">
        <v>31</v>
      </c>
      <c r="C39" s="5" t="s">
        <v>32</v>
      </c>
      <c r="D39" s="5" t="s">
        <v>411</v>
      </c>
      <c r="E39" s="5"/>
      <c r="F39" s="5">
        <v>28</v>
      </c>
      <c r="G39" s="5" t="s">
        <v>341</v>
      </c>
      <c r="H39" s="5">
        <v>679</v>
      </c>
      <c r="I39" s="5" t="s">
        <v>9</v>
      </c>
    </row>
    <row r="40" spans="1:9" x14ac:dyDescent="0.35">
      <c r="A40" s="5" t="s">
        <v>114</v>
      </c>
      <c r="B40" s="5" t="s">
        <v>412</v>
      </c>
      <c r="C40" s="5" t="s">
        <v>7</v>
      </c>
      <c r="D40" s="5" t="s">
        <v>413</v>
      </c>
      <c r="E40" s="5" t="s">
        <v>414</v>
      </c>
      <c r="F40" s="5">
        <v>110</v>
      </c>
      <c r="G40" s="5" t="s">
        <v>415</v>
      </c>
      <c r="H40" s="5">
        <v>670</v>
      </c>
      <c r="I40" s="5" t="s">
        <v>9</v>
      </c>
    </row>
    <row r="41" spans="1:9" x14ac:dyDescent="0.35">
      <c r="A41" s="5" t="s">
        <v>117</v>
      </c>
      <c r="B41" s="5"/>
      <c r="C41" s="5" t="s">
        <v>32</v>
      </c>
      <c r="D41" s="5" t="s">
        <v>416</v>
      </c>
      <c r="E41" s="5" t="s">
        <v>417</v>
      </c>
      <c r="F41" s="5">
        <v>59</v>
      </c>
      <c r="G41" s="5" t="s">
        <v>418</v>
      </c>
      <c r="H41" s="5">
        <v>776</v>
      </c>
      <c r="I41" s="5" t="s">
        <v>19</v>
      </c>
    </row>
    <row r="42" spans="1:9" x14ac:dyDescent="0.35">
      <c r="A42" s="5" t="s">
        <v>120</v>
      </c>
      <c r="B42" s="5" t="s">
        <v>1</v>
      </c>
      <c r="C42" s="5" t="s">
        <v>7</v>
      </c>
      <c r="D42" s="5" t="s">
        <v>419</v>
      </c>
      <c r="E42" s="5" t="s">
        <v>420</v>
      </c>
      <c r="F42" s="5">
        <v>20</v>
      </c>
      <c r="G42" s="5"/>
      <c r="H42" s="5">
        <v>695</v>
      </c>
      <c r="I42" s="5" t="s">
        <v>9</v>
      </c>
    </row>
    <row r="43" spans="1:9" x14ac:dyDescent="0.35">
      <c r="A43" s="5" t="s">
        <v>123</v>
      </c>
      <c r="B43" s="5" t="s">
        <v>17</v>
      </c>
      <c r="C43" s="5" t="s">
        <v>25</v>
      </c>
      <c r="D43" s="5" t="s">
        <v>421</v>
      </c>
      <c r="E43" s="5" t="s">
        <v>422</v>
      </c>
      <c r="F43" s="5">
        <v>18</v>
      </c>
      <c r="G43" s="5" t="s">
        <v>327</v>
      </c>
      <c r="H43" s="5">
        <v>666</v>
      </c>
      <c r="I43" s="5" t="s">
        <v>19</v>
      </c>
    </row>
    <row r="44" spans="1:9" x14ac:dyDescent="0.35">
      <c r="A44" s="5" t="s">
        <v>125</v>
      </c>
      <c r="B44" s="5" t="s">
        <v>412</v>
      </c>
      <c r="C44" s="5" t="s">
        <v>12</v>
      </c>
      <c r="D44" s="5" t="s">
        <v>423</v>
      </c>
      <c r="E44" s="5" t="s">
        <v>424</v>
      </c>
      <c r="F44" s="5">
        <v>14</v>
      </c>
      <c r="G44" s="5" t="s">
        <v>425</v>
      </c>
      <c r="H44" s="5">
        <v>718</v>
      </c>
      <c r="I44" s="5" t="s">
        <v>19</v>
      </c>
    </row>
    <row r="45" spans="1:9" x14ac:dyDescent="0.35">
      <c r="A45" s="5" t="s">
        <v>127</v>
      </c>
      <c r="B45" s="5" t="s">
        <v>17</v>
      </c>
      <c r="C45" s="5" t="s">
        <v>2</v>
      </c>
      <c r="D45" s="5" t="s">
        <v>426</v>
      </c>
      <c r="E45" s="5" t="s">
        <v>427</v>
      </c>
      <c r="F45" s="5">
        <v>50</v>
      </c>
      <c r="G45" s="5" t="s">
        <v>428</v>
      </c>
      <c r="H45" s="5">
        <v>825</v>
      </c>
      <c r="I45" s="5" t="s">
        <v>4</v>
      </c>
    </row>
    <row r="46" spans="1:9" x14ac:dyDescent="0.35">
      <c r="A46" s="5" t="s">
        <v>129</v>
      </c>
      <c r="B46" s="5" t="s">
        <v>11</v>
      </c>
      <c r="C46" s="5" t="s">
        <v>25</v>
      </c>
      <c r="D46" s="5" t="s">
        <v>429</v>
      </c>
      <c r="E46" s="5" t="s">
        <v>430</v>
      </c>
      <c r="F46" s="5">
        <v>38</v>
      </c>
      <c r="G46" s="5" t="s">
        <v>431</v>
      </c>
      <c r="H46" s="5">
        <v>724</v>
      </c>
      <c r="I46" s="5" t="s">
        <v>19</v>
      </c>
    </row>
    <row r="47" spans="1:9" x14ac:dyDescent="0.35">
      <c r="A47" s="5" t="s">
        <v>132</v>
      </c>
      <c r="B47" s="5" t="s">
        <v>311</v>
      </c>
      <c r="C47" s="5" t="s">
        <v>32</v>
      </c>
      <c r="D47" s="5" t="s">
        <v>432</v>
      </c>
      <c r="E47" s="5" t="s">
        <v>433</v>
      </c>
      <c r="F47" s="5">
        <v>38</v>
      </c>
      <c r="G47" s="5" t="s">
        <v>434</v>
      </c>
      <c r="H47" s="5">
        <v>817</v>
      </c>
      <c r="I47" s="5" t="s">
        <v>19</v>
      </c>
    </row>
    <row r="48" spans="1:9" x14ac:dyDescent="0.35">
      <c r="A48" s="5" t="s">
        <v>134</v>
      </c>
      <c r="B48" s="5" t="s">
        <v>130</v>
      </c>
      <c r="C48" s="5" t="s">
        <v>7</v>
      </c>
      <c r="D48" s="5" t="s">
        <v>435</v>
      </c>
      <c r="E48" s="5" t="s">
        <v>436</v>
      </c>
      <c r="F48" s="5">
        <v>104</v>
      </c>
      <c r="G48" s="5" t="s">
        <v>437</v>
      </c>
      <c r="H48" s="5">
        <v>845</v>
      </c>
      <c r="I48" s="5" t="s">
        <v>19</v>
      </c>
    </row>
    <row r="49" spans="1:9" x14ac:dyDescent="0.35">
      <c r="A49" s="5" t="s">
        <v>137</v>
      </c>
      <c r="B49" s="5" t="s">
        <v>6</v>
      </c>
      <c r="C49" s="5" t="s">
        <v>25</v>
      </c>
      <c r="D49" s="5" t="s">
        <v>438</v>
      </c>
      <c r="E49" s="5" t="s">
        <v>439</v>
      </c>
      <c r="F49" s="5">
        <v>103</v>
      </c>
      <c r="G49" s="5" t="s">
        <v>440</v>
      </c>
      <c r="H49" s="5">
        <v>871</v>
      </c>
      <c r="I49" s="5" t="s">
        <v>19</v>
      </c>
    </row>
    <row r="50" spans="1:9" x14ac:dyDescent="0.35">
      <c r="A50" s="5" t="s">
        <v>140</v>
      </c>
      <c r="B50" s="5" t="s">
        <v>135</v>
      </c>
      <c r="C50" s="5" t="s">
        <v>25</v>
      </c>
      <c r="D50" s="5" t="s">
        <v>441</v>
      </c>
      <c r="E50" s="5" t="s">
        <v>442</v>
      </c>
      <c r="F50" s="5">
        <v>43</v>
      </c>
      <c r="G50" s="5" t="s">
        <v>443</v>
      </c>
      <c r="H50" s="5">
        <v>725</v>
      </c>
      <c r="I50" s="5" t="s">
        <v>19</v>
      </c>
    </row>
    <row r="51" spans="1:9" x14ac:dyDescent="0.35">
      <c r="A51" s="5" t="s">
        <v>143</v>
      </c>
      <c r="B51" s="5" t="s">
        <v>332</v>
      </c>
      <c r="C51" s="5" t="s">
        <v>2</v>
      </c>
      <c r="D51" s="5" t="s">
        <v>444</v>
      </c>
      <c r="E51" s="5" t="s">
        <v>445</v>
      </c>
      <c r="F51" s="5">
        <v>58</v>
      </c>
      <c r="G51" s="5" t="s">
        <v>446</v>
      </c>
      <c r="H51" s="5">
        <v>769</v>
      </c>
      <c r="I51" s="5" t="s">
        <v>9</v>
      </c>
    </row>
    <row r="52" spans="1:9" x14ac:dyDescent="0.35">
      <c r="A52" s="5" t="s">
        <v>146</v>
      </c>
      <c r="B52" s="5" t="s">
        <v>11</v>
      </c>
      <c r="C52" s="5" t="s">
        <v>12</v>
      </c>
      <c r="D52" s="5" t="s">
        <v>447</v>
      </c>
      <c r="E52" s="5" t="s">
        <v>448</v>
      </c>
      <c r="F52" s="5">
        <v>100</v>
      </c>
      <c r="G52" s="5" t="s">
        <v>449</v>
      </c>
      <c r="H52" s="5">
        <v>822</v>
      </c>
      <c r="I52" s="5" t="s">
        <v>4</v>
      </c>
    </row>
    <row r="53" spans="1:9" x14ac:dyDescent="0.35">
      <c r="A53" s="5" t="s">
        <v>149</v>
      </c>
      <c r="B53" s="5" t="s">
        <v>61</v>
      </c>
      <c r="C53" s="5" t="s">
        <v>450</v>
      </c>
      <c r="D53" s="5" t="s">
        <v>451</v>
      </c>
      <c r="E53" s="5" t="s">
        <v>452</v>
      </c>
      <c r="F53" s="5">
        <v>27</v>
      </c>
      <c r="G53" s="5" t="s">
        <v>453</v>
      </c>
      <c r="H53" s="5">
        <v>772</v>
      </c>
      <c r="I53" s="5" t="s">
        <v>9</v>
      </c>
    </row>
    <row r="54" spans="1:9" x14ac:dyDescent="0.35">
      <c r="A54" s="5" t="s">
        <v>151</v>
      </c>
      <c r="B54" s="5" t="s">
        <v>11</v>
      </c>
      <c r="C54" s="5" t="s">
        <v>25</v>
      </c>
      <c r="D54" s="5" t="s">
        <v>454</v>
      </c>
      <c r="E54" s="5"/>
      <c r="F54" s="5">
        <v>98</v>
      </c>
      <c r="G54" s="5" t="s">
        <v>455</v>
      </c>
      <c r="H54" s="5">
        <v>802</v>
      </c>
      <c r="I54" s="5" t="s">
        <v>19</v>
      </c>
    </row>
    <row r="55" spans="1:9" x14ac:dyDescent="0.35">
      <c r="A55" s="5" t="s">
        <v>153</v>
      </c>
      <c r="B55" s="5" t="s">
        <v>61</v>
      </c>
      <c r="C55" s="5" t="s">
        <v>12</v>
      </c>
      <c r="D55" s="5" t="s">
        <v>456</v>
      </c>
      <c r="E55" s="5" t="s">
        <v>457</v>
      </c>
      <c r="F55" s="5">
        <v>23</v>
      </c>
      <c r="G55" s="5" t="s">
        <v>458</v>
      </c>
      <c r="H55" s="5">
        <v>687</v>
      </c>
      <c r="I55" s="5" t="s">
        <v>9</v>
      </c>
    </row>
    <row r="56" spans="1:9" x14ac:dyDescent="0.35">
      <c r="A56" s="5" t="s">
        <v>155</v>
      </c>
      <c r="B56" s="5" t="s">
        <v>17</v>
      </c>
      <c r="C56" s="5" t="s">
        <v>459</v>
      </c>
      <c r="D56" s="5" t="s">
        <v>460</v>
      </c>
      <c r="E56" s="5" t="s">
        <v>461</v>
      </c>
      <c r="F56" s="5">
        <v>53</v>
      </c>
      <c r="G56" s="5" t="s">
        <v>327</v>
      </c>
      <c r="H56" s="5">
        <v>855</v>
      </c>
      <c r="I56" s="5" t="s">
        <v>9</v>
      </c>
    </row>
    <row r="57" spans="1:9" x14ac:dyDescent="0.35">
      <c r="A57" s="5" t="s">
        <v>158</v>
      </c>
      <c r="B57" s="5" t="s">
        <v>135</v>
      </c>
      <c r="C57" s="5" t="s">
        <v>12</v>
      </c>
      <c r="D57" s="5" t="s">
        <v>462</v>
      </c>
      <c r="E57" s="5" t="s">
        <v>463</v>
      </c>
      <c r="F57" s="5">
        <v>12</v>
      </c>
      <c r="G57" s="5" t="s">
        <v>367</v>
      </c>
      <c r="H57" s="5">
        <v>836</v>
      </c>
      <c r="I57" s="5" t="s">
        <v>19</v>
      </c>
    </row>
    <row r="58" spans="1:9" x14ac:dyDescent="0.35">
      <c r="A58" s="5" t="s">
        <v>161</v>
      </c>
      <c r="B58" s="5" t="s">
        <v>6</v>
      </c>
      <c r="C58" s="5" t="s">
        <v>32</v>
      </c>
      <c r="D58" s="5" t="s">
        <v>464</v>
      </c>
      <c r="E58" s="5" t="s">
        <v>465</v>
      </c>
      <c r="F58" s="5">
        <v>104</v>
      </c>
      <c r="G58" s="5" t="s">
        <v>348</v>
      </c>
      <c r="H58" s="5">
        <v>821</v>
      </c>
      <c r="I58" s="5" t="s">
        <v>19</v>
      </c>
    </row>
    <row r="59" spans="1:9" x14ac:dyDescent="0.35">
      <c r="A59" s="5" t="s">
        <v>163</v>
      </c>
      <c r="B59" s="5" t="s">
        <v>37</v>
      </c>
      <c r="C59" s="5" t="s">
        <v>2</v>
      </c>
      <c r="D59" s="5" t="s">
        <v>466</v>
      </c>
      <c r="E59" s="5" t="s">
        <v>467</v>
      </c>
      <c r="F59" s="5">
        <v>77</v>
      </c>
      <c r="G59" s="5" t="s">
        <v>468</v>
      </c>
      <c r="H59" s="5">
        <v>681</v>
      </c>
      <c r="I59" s="5" t="s">
        <v>19</v>
      </c>
    </row>
    <row r="60" spans="1:9" x14ac:dyDescent="0.35">
      <c r="A60" s="5" t="s">
        <v>165</v>
      </c>
      <c r="B60" s="5" t="s">
        <v>61</v>
      </c>
      <c r="C60" s="5" t="s">
        <v>2</v>
      </c>
      <c r="D60" s="5" t="s">
        <v>469</v>
      </c>
      <c r="E60" s="5" t="s">
        <v>470</v>
      </c>
      <c r="F60" s="5">
        <v>21</v>
      </c>
      <c r="G60" s="5" t="s">
        <v>471</v>
      </c>
      <c r="H60" s="5">
        <v>753</v>
      </c>
      <c r="I60" s="5" t="s">
        <v>9</v>
      </c>
    </row>
    <row r="61" spans="1:9" x14ac:dyDescent="0.35">
      <c r="A61" s="5" t="s">
        <v>167</v>
      </c>
      <c r="B61" s="5" t="s">
        <v>6</v>
      </c>
      <c r="C61" s="5" t="s">
        <v>32</v>
      </c>
      <c r="D61" s="5" t="s">
        <v>472</v>
      </c>
      <c r="E61" s="5" t="s">
        <v>473</v>
      </c>
      <c r="F61" s="5">
        <v>54</v>
      </c>
      <c r="G61" s="5" t="s">
        <v>440</v>
      </c>
      <c r="H61" s="5">
        <v>706</v>
      </c>
      <c r="I61" s="5" t="s">
        <v>304</v>
      </c>
    </row>
    <row r="62" spans="1:9" x14ac:dyDescent="0.35">
      <c r="A62" s="5" t="s">
        <v>170</v>
      </c>
      <c r="B62" s="5" t="s">
        <v>28</v>
      </c>
      <c r="C62" s="5" t="s">
        <v>32</v>
      </c>
      <c r="D62" s="5" t="s">
        <v>474</v>
      </c>
      <c r="E62" s="5" t="s">
        <v>475</v>
      </c>
      <c r="F62" s="5">
        <v>90</v>
      </c>
      <c r="G62" s="5" t="s">
        <v>476</v>
      </c>
      <c r="H62" s="5">
        <v>765</v>
      </c>
      <c r="I62" s="5" t="s">
        <v>4</v>
      </c>
    </row>
    <row r="63" spans="1:9" x14ac:dyDescent="0.35">
      <c r="A63" s="5" t="s">
        <v>173</v>
      </c>
      <c r="B63" s="5" t="s">
        <v>1</v>
      </c>
      <c r="C63" s="5" t="s">
        <v>25</v>
      </c>
      <c r="D63" s="5" t="s">
        <v>477</v>
      </c>
      <c r="E63" s="5" t="s">
        <v>478</v>
      </c>
      <c r="F63" s="5">
        <v>29</v>
      </c>
      <c r="G63" s="5" t="s">
        <v>468</v>
      </c>
      <c r="H63" s="5">
        <v>822</v>
      </c>
      <c r="I63" s="5" t="s">
        <v>4</v>
      </c>
    </row>
    <row r="64" spans="1:9" x14ac:dyDescent="0.35">
      <c r="A64" s="5" t="s">
        <v>176</v>
      </c>
      <c r="B64" s="5" t="s">
        <v>17</v>
      </c>
      <c r="C64" s="5" t="s">
        <v>7</v>
      </c>
      <c r="D64" s="5" t="s">
        <v>479</v>
      </c>
      <c r="E64" s="5" t="s">
        <v>480</v>
      </c>
      <c r="F64" s="5">
        <v>76</v>
      </c>
      <c r="G64" s="5" t="s">
        <v>324</v>
      </c>
      <c r="H64" s="5">
        <v>878</v>
      </c>
      <c r="I64" s="5" t="s">
        <v>4</v>
      </c>
    </row>
    <row r="65" spans="1:9" x14ac:dyDescent="0.35">
      <c r="A65" s="5" t="s">
        <v>179</v>
      </c>
      <c r="B65" s="5" t="s">
        <v>61</v>
      </c>
      <c r="C65" s="5" t="s">
        <v>25</v>
      </c>
      <c r="D65" s="5" t="s">
        <v>481</v>
      </c>
      <c r="E65" s="5" t="s">
        <v>482</v>
      </c>
      <c r="F65" s="5">
        <v>86</v>
      </c>
      <c r="G65" s="5" t="s">
        <v>446</v>
      </c>
      <c r="H65" s="5">
        <v>753</v>
      </c>
      <c r="I65" s="5" t="s">
        <v>19</v>
      </c>
    </row>
    <row r="66" spans="1:9" x14ac:dyDescent="0.35">
      <c r="A66" s="5" t="s">
        <v>181</v>
      </c>
      <c r="B66" s="5" t="s">
        <v>17</v>
      </c>
      <c r="C66" s="5" t="s">
        <v>25</v>
      </c>
      <c r="D66" s="5" t="s">
        <v>483</v>
      </c>
      <c r="E66" s="5" t="s">
        <v>408</v>
      </c>
      <c r="F66" s="5">
        <v>49</v>
      </c>
      <c r="G66" s="5" t="s">
        <v>321</v>
      </c>
      <c r="H66" s="5">
        <v>694</v>
      </c>
      <c r="I66" s="5" t="s">
        <v>19</v>
      </c>
    </row>
    <row r="67" spans="1:9" x14ac:dyDescent="0.35">
      <c r="A67" s="5" t="s">
        <v>184</v>
      </c>
      <c r="B67" s="5" t="s">
        <v>484</v>
      </c>
      <c r="C67" s="5" t="s">
        <v>7</v>
      </c>
      <c r="D67" s="5" t="s">
        <v>485</v>
      </c>
      <c r="E67" s="5" t="s">
        <v>486</v>
      </c>
      <c r="F67" s="5">
        <v>111</v>
      </c>
      <c r="G67" s="5" t="s">
        <v>487</v>
      </c>
      <c r="H67" s="5">
        <v>677</v>
      </c>
      <c r="I67" s="5" t="s">
        <v>19</v>
      </c>
    </row>
    <row r="68" spans="1:9" x14ac:dyDescent="0.35">
      <c r="A68" s="5" t="s">
        <v>187</v>
      </c>
      <c r="B68" s="5" t="s">
        <v>28</v>
      </c>
      <c r="C68" s="5" t="s">
        <v>12</v>
      </c>
      <c r="D68" s="5" t="s">
        <v>488</v>
      </c>
      <c r="E68" s="5" t="s">
        <v>489</v>
      </c>
      <c r="F68" s="5">
        <v>33</v>
      </c>
      <c r="G68" s="5" t="s">
        <v>490</v>
      </c>
      <c r="H68" s="5">
        <v>723</v>
      </c>
      <c r="I68" s="5" t="s">
        <v>304</v>
      </c>
    </row>
    <row r="69" spans="1:9" x14ac:dyDescent="0.35">
      <c r="A69" s="5" t="s">
        <v>189</v>
      </c>
      <c r="B69" s="5" t="s">
        <v>6</v>
      </c>
      <c r="C69" s="5" t="s">
        <v>12</v>
      </c>
      <c r="D69" s="5" t="s">
        <v>491</v>
      </c>
      <c r="E69" s="5" t="s">
        <v>492</v>
      </c>
      <c r="F69" s="5">
        <v>38</v>
      </c>
      <c r="G69" s="5" t="s">
        <v>493</v>
      </c>
      <c r="H69" s="5">
        <v>729</v>
      </c>
      <c r="I69" s="5" t="s">
        <v>4</v>
      </c>
    </row>
    <row r="70" spans="1:9" x14ac:dyDescent="0.35">
      <c r="A70" s="5" t="s">
        <v>191</v>
      </c>
      <c r="B70" s="5" t="s">
        <v>28</v>
      </c>
      <c r="C70" s="5" t="s">
        <v>494</v>
      </c>
      <c r="D70" s="5" t="s">
        <v>495</v>
      </c>
      <c r="E70" s="5" t="s">
        <v>496</v>
      </c>
      <c r="F70" s="5">
        <v>117</v>
      </c>
      <c r="G70" s="5" t="s">
        <v>497</v>
      </c>
      <c r="H70" s="5">
        <v>797</v>
      </c>
      <c r="I70" s="5" t="s">
        <v>19</v>
      </c>
    </row>
    <row r="71" spans="1:9" x14ac:dyDescent="0.35">
      <c r="A71" s="5" t="s">
        <v>193</v>
      </c>
      <c r="B71" s="5" t="s">
        <v>498</v>
      </c>
      <c r="C71" s="5" t="s">
        <v>12</v>
      </c>
      <c r="D71" s="5" t="s">
        <v>499</v>
      </c>
      <c r="E71" s="5" t="s">
        <v>500</v>
      </c>
      <c r="F71" s="5">
        <v>55</v>
      </c>
      <c r="G71" s="5" t="s">
        <v>501</v>
      </c>
      <c r="H71" s="5">
        <v>709</v>
      </c>
      <c r="I71" s="5" t="s">
        <v>4</v>
      </c>
    </row>
    <row r="72" spans="1:9" x14ac:dyDescent="0.35">
      <c r="A72" s="5" t="s">
        <v>195</v>
      </c>
      <c r="B72" s="5" t="s">
        <v>1</v>
      </c>
      <c r="C72" s="5" t="s">
        <v>2</v>
      </c>
      <c r="D72" s="5" t="s">
        <v>502</v>
      </c>
      <c r="E72" s="5" t="s">
        <v>503</v>
      </c>
      <c r="F72" s="5">
        <v>14</v>
      </c>
      <c r="G72" s="5" t="s">
        <v>504</v>
      </c>
      <c r="H72" s="5">
        <v>663</v>
      </c>
      <c r="I72" s="5" t="s">
        <v>19</v>
      </c>
    </row>
    <row r="73" spans="1:9" x14ac:dyDescent="0.35">
      <c r="A73" s="5" t="s">
        <v>197</v>
      </c>
      <c r="B73" s="5" t="s">
        <v>1</v>
      </c>
      <c r="C73" s="5" t="s">
        <v>25</v>
      </c>
      <c r="D73" s="5" t="s">
        <v>505</v>
      </c>
      <c r="E73" s="5" t="s">
        <v>506</v>
      </c>
      <c r="F73" s="5">
        <v>117</v>
      </c>
      <c r="G73" s="5" t="s">
        <v>507</v>
      </c>
      <c r="H73" s="5">
        <v>771</v>
      </c>
      <c r="I73" s="5" t="s">
        <v>410</v>
      </c>
    </row>
    <row r="74" spans="1:9" x14ac:dyDescent="0.35">
      <c r="A74" s="5" t="s">
        <v>199</v>
      </c>
      <c r="B74" s="5" t="s">
        <v>6</v>
      </c>
      <c r="C74" s="5" t="s">
        <v>7</v>
      </c>
      <c r="D74" s="5" t="s">
        <v>508</v>
      </c>
      <c r="E74" s="5" t="s">
        <v>509</v>
      </c>
      <c r="F74" s="5">
        <v>19</v>
      </c>
      <c r="G74" s="5" t="s">
        <v>510</v>
      </c>
      <c r="H74" s="5">
        <v>668</v>
      </c>
      <c r="I74" s="5" t="s">
        <v>19</v>
      </c>
    </row>
    <row r="75" spans="1:9" x14ac:dyDescent="0.35">
      <c r="A75" s="5" t="s">
        <v>201</v>
      </c>
      <c r="B75" s="5" t="s">
        <v>17</v>
      </c>
      <c r="C75" s="5" t="s">
        <v>2</v>
      </c>
      <c r="D75" s="5" t="s">
        <v>511</v>
      </c>
      <c r="E75" s="5" t="s">
        <v>512</v>
      </c>
      <c r="F75" s="5">
        <v>61</v>
      </c>
      <c r="G75" s="5" t="s">
        <v>513</v>
      </c>
      <c r="H75" s="5">
        <v>887</v>
      </c>
      <c r="I75" s="5" t="s">
        <v>9</v>
      </c>
    </row>
    <row r="76" spans="1:9" x14ac:dyDescent="0.35">
      <c r="A76" s="5" t="s">
        <v>203</v>
      </c>
      <c r="B76" s="5" t="s">
        <v>61</v>
      </c>
      <c r="C76" s="5" t="s">
        <v>7</v>
      </c>
      <c r="D76" s="5" t="s">
        <v>514</v>
      </c>
      <c r="E76" s="5" t="s">
        <v>515</v>
      </c>
      <c r="F76" s="5">
        <v>60</v>
      </c>
      <c r="G76" s="5" t="s">
        <v>516</v>
      </c>
      <c r="H76" s="5">
        <v>742</v>
      </c>
      <c r="I76" s="5" t="s">
        <v>9</v>
      </c>
    </row>
    <row r="77" spans="1:9" x14ac:dyDescent="0.35">
      <c r="A77" s="5" t="s">
        <v>206</v>
      </c>
      <c r="B77" s="5" t="s">
        <v>37</v>
      </c>
      <c r="C77" s="5" t="s">
        <v>403</v>
      </c>
      <c r="D77" s="5" t="s">
        <v>517</v>
      </c>
      <c r="E77" s="5" t="s">
        <v>518</v>
      </c>
      <c r="F77" s="5">
        <v>43</v>
      </c>
      <c r="G77" s="5" t="s">
        <v>519</v>
      </c>
      <c r="H77" s="5">
        <v>884</v>
      </c>
      <c r="I77" s="5" t="s">
        <v>19</v>
      </c>
    </row>
    <row r="78" spans="1:9" x14ac:dyDescent="0.35">
      <c r="A78" s="5" t="s">
        <v>209</v>
      </c>
      <c r="B78" s="5" t="s">
        <v>61</v>
      </c>
      <c r="C78" s="5" t="s">
        <v>32</v>
      </c>
      <c r="D78" s="5" t="s">
        <v>520</v>
      </c>
      <c r="E78" s="5" t="s">
        <v>521</v>
      </c>
      <c r="F78" s="5">
        <v>110</v>
      </c>
      <c r="G78" s="5" t="s">
        <v>522</v>
      </c>
      <c r="H78" s="5">
        <v>886</v>
      </c>
      <c r="I78" s="5" t="s">
        <v>4</v>
      </c>
    </row>
    <row r="79" spans="1:9" x14ac:dyDescent="0.35">
      <c r="A79" s="5" t="s">
        <v>211</v>
      </c>
      <c r="B79" s="5" t="s">
        <v>28</v>
      </c>
      <c r="C79" s="5" t="s">
        <v>32</v>
      </c>
      <c r="D79" s="5" t="s">
        <v>523</v>
      </c>
      <c r="E79" s="5" t="s">
        <v>524</v>
      </c>
      <c r="F79" s="5">
        <v>26</v>
      </c>
      <c r="G79" s="5" t="s">
        <v>525</v>
      </c>
      <c r="H79" s="5">
        <v>710</v>
      </c>
      <c r="I79" s="5" t="s">
        <v>4</v>
      </c>
    </row>
    <row r="80" spans="1:9" x14ac:dyDescent="0.35">
      <c r="A80" s="5" t="s">
        <v>213</v>
      </c>
      <c r="B80" s="5" t="s">
        <v>31</v>
      </c>
      <c r="C80" s="5" t="s">
        <v>2</v>
      </c>
      <c r="D80" s="5" t="s">
        <v>526</v>
      </c>
      <c r="E80" s="5" t="s">
        <v>398</v>
      </c>
      <c r="F80" s="5">
        <v>84</v>
      </c>
      <c r="G80" s="5" t="s">
        <v>527</v>
      </c>
      <c r="H80" s="5">
        <v>877</v>
      </c>
      <c r="I80" s="5" t="s">
        <v>9</v>
      </c>
    </row>
    <row r="81" spans="1:9" x14ac:dyDescent="0.35">
      <c r="A81" s="5" t="s">
        <v>216</v>
      </c>
      <c r="B81" s="5" t="s">
        <v>17</v>
      </c>
      <c r="C81" s="5" t="s">
        <v>12</v>
      </c>
      <c r="D81" s="5" t="s">
        <v>528</v>
      </c>
      <c r="E81" s="5" t="s">
        <v>529</v>
      </c>
      <c r="F81" s="5">
        <v>39</v>
      </c>
      <c r="G81" s="5" t="s">
        <v>530</v>
      </c>
      <c r="H81" s="5">
        <v>894</v>
      </c>
      <c r="I81" s="5" t="s">
        <v>9</v>
      </c>
    </row>
    <row r="82" spans="1:9" x14ac:dyDescent="0.35">
      <c r="A82" s="5" t="s">
        <v>219</v>
      </c>
      <c r="B82" s="5" t="s">
        <v>301</v>
      </c>
      <c r="C82" s="5" t="s">
        <v>459</v>
      </c>
      <c r="D82" s="5" t="s">
        <v>531</v>
      </c>
      <c r="E82" s="5" t="s">
        <v>532</v>
      </c>
      <c r="F82" s="5">
        <v>75</v>
      </c>
      <c r="G82" s="5" t="s">
        <v>533</v>
      </c>
      <c r="H82" s="5">
        <v>880</v>
      </c>
      <c r="I82" s="5" t="s">
        <v>19</v>
      </c>
    </row>
    <row r="83" spans="1:9" x14ac:dyDescent="0.35">
      <c r="A83" s="5" t="s">
        <v>221</v>
      </c>
      <c r="B83" s="5" t="s">
        <v>135</v>
      </c>
      <c r="C83" s="5" t="s">
        <v>7</v>
      </c>
      <c r="D83" s="5" t="s">
        <v>534</v>
      </c>
      <c r="E83" s="5" t="s">
        <v>535</v>
      </c>
      <c r="F83" s="5">
        <v>69</v>
      </c>
      <c r="G83" s="5" t="s">
        <v>536</v>
      </c>
      <c r="H83" s="5">
        <v>896</v>
      </c>
      <c r="I83" s="5" t="s">
        <v>19</v>
      </c>
    </row>
    <row r="84" spans="1:9" x14ac:dyDescent="0.35">
      <c r="A84" s="5" t="s">
        <v>222</v>
      </c>
      <c r="B84" s="5" t="s">
        <v>412</v>
      </c>
      <c r="C84" s="5" t="s">
        <v>2</v>
      </c>
      <c r="D84" s="5" t="s">
        <v>537</v>
      </c>
      <c r="E84" s="5" t="s">
        <v>538</v>
      </c>
      <c r="F84" s="5">
        <v>20</v>
      </c>
      <c r="G84" s="5" t="s">
        <v>539</v>
      </c>
      <c r="H84" s="5">
        <v>893</v>
      </c>
      <c r="I84" s="5" t="s">
        <v>4</v>
      </c>
    </row>
    <row r="85" spans="1:9" x14ac:dyDescent="0.35">
      <c r="A85" s="5" t="s">
        <v>224</v>
      </c>
      <c r="B85" s="5" t="s">
        <v>498</v>
      </c>
      <c r="C85" s="5" t="s">
        <v>32</v>
      </c>
      <c r="D85" s="5" t="s">
        <v>540</v>
      </c>
      <c r="E85" s="5" t="s">
        <v>473</v>
      </c>
      <c r="F85" s="5">
        <v>102</v>
      </c>
      <c r="G85" s="5" t="s">
        <v>541</v>
      </c>
      <c r="H85" s="5">
        <v>753</v>
      </c>
      <c r="I85" s="5" t="s">
        <v>9</v>
      </c>
    </row>
    <row r="86" spans="1:9" x14ac:dyDescent="0.35">
      <c r="A86" s="5" t="s">
        <v>227</v>
      </c>
      <c r="B86" s="5" t="s">
        <v>11</v>
      </c>
      <c r="C86" s="5" t="s">
        <v>12</v>
      </c>
      <c r="D86" s="5" t="s">
        <v>542</v>
      </c>
      <c r="E86" s="5" t="s">
        <v>543</v>
      </c>
      <c r="F86" s="5">
        <v>22</v>
      </c>
      <c r="G86" s="5" t="s">
        <v>544</v>
      </c>
      <c r="H86" s="5">
        <v>764</v>
      </c>
      <c r="I86" s="5" t="s">
        <v>304</v>
      </c>
    </row>
    <row r="87" spans="1:9" x14ac:dyDescent="0.35">
      <c r="A87" s="5" t="s">
        <v>230</v>
      </c>
      <c r="B87" s="5" t="s">
        <v>311</v>
      </c>
      <c r="C87" s="5" t="s">
        <v>12</v>
      </c>
      <c r="D87" s="5" t="s">
        <v>545</v>
      </c>
      <c r="E87" s="5" t="s">
        <v>546</v>
      </c>
      <c r="F87" s="5">
        <v>66</v>
      </c>
      <c r="G87" s="5" t="s">
        <v>314</v>
      </c>
      <c r="H87" s="5">
        <v>826</v>
      </c>
      <c r="I87" s="5" t="s">
        <v>19</v>
      </c>
    </row>
    <row r="88" spans="1:9" x14ac:dyDescent="0.35">
      <c r="A88" s="5" t="s">
        <v>233</v>
      </c>
      <c r="B88" s="5" t="s">
        <v>6</v>
      </c>
      <c r="C88" s="5" t="s">
        <v>2</v>
      </c>
      <c r="D88" s="5" t="s">
        <v>547</v>
      </c>
      <c r="E88" s="5" t="s">
        <v>548</v>
      </c>
      <c r="F88" s="5">
        <v>81</v>
      </c>
      <c r="G88" s="5" t="s">
        <v>186</v>
      </c>
      <c r="H88" s="5">
        <v>793</v>
      </c>
      <c r="I88" s="5" t="s">
        <v>4</v>
      </c>
    </row>
    <row r="89" spans="1:9" x14ac:dyDescent="0.35">
      <c r="A89" s="5" t="s">
        <v>235</v>
      </c>
      <c r="B89" s="5" t="s">
        <v>17</v>
      </c>
      <c r="C89" s="5" t="s">
        <v>32</v>
      </c>
      <c r="D89" s="5" t="s">
        <v>549</v>
      </c>
      <c r="E89" s="5" t="s">
        <v>550</v>
      </c>
      <c r="F89" s="5">
        <v>12</v>
      </c>
      <c r="G89" s="5" t="s">
        <v>551</v>
      </c>
      <c r="H89" s="5">
        <v>682</v>
      </c>
      <c r="I89" s="5" t="s">
        <v>9</v>
      </c>
    </row>
    <row r="90" spans="1:9" x14ac:dyDescent="0.35">
      <c r="A90" s="5" t="s">
        <v>237</v>
      </c>
      <c r="B90" s="5" t="s">
        <v>135</v>
      </c>
      <c r="C90" s="5" t="s">
        <v>12</v>
      </c>
      <c r="D90" s="5" t="s">
        <v>552</v>
      </c>
      <c r="E90" s="5" t="s">
        <v>470</v>
      </c>
      <c r="F90" s="5">
        <v>32</v>
      </c>
      <c r="G90" s="5" t="s">
        <v>553</v>
      </c>
      <c r="H90" s="5">
        <v>680</v>
      </c>
      <c r="I90" s="5" t="s">
        <v>4</v>
      </c>
    </row>
    <row r="91" spans="1:9" x14ac:dyDescent="0.35">
      <c r="A91" s="5" t="s">
        <v>239</v>
      </c>
      <c r="B91" s="5" t="s">
        <v>130</v>
      </c>
      <c r="C91" s="5" t="s">
        <v>7</v>
      </c>
      <c r="D91" s="5" t="s">
        <v>554</v>
      </c>
      <c r="E91" s="5" t="s">
        <v>555</v>
      </c>
      <c r="F91" s="5">
        <v>49</v>
      </c>
      <c r="G91" s="5" t="s">
        <v>556</v>
      </c>
      <c r="H91" s="5">
        <v>797</v>
      </c>
      <c r="I91" s="5" t="s">
        <v>9</v>
      </c>
    </row>
    <row r="92" spans="1:9" x14ac:dyDescent="0.35">
      <c r="A92" s="5" t="s">
        <v>242</v>
      </c>
      <c r="B92" s="5" t="s">
        <v>360</v>
      </c>
      <c r="C92" s="5" t="s">
        <v>12</v>
      </c>
      <c r="D92" s="5"/>
      <c r="E92" s="5" t="s">
        <v>557</v>
      </c>
      <c r="F92" s="5">
        <v>65</v>
      </c>
      <c r="G92" s="5" t="s">
        <v>558</v>
      </c>
      <c r="H92" s="5">
        <v>683</v>
      </c>
      <c r="I92" s="5" t="s">
        <v>4</v>
      </c>
    </row>
    <row r="93" spans="1:9" x14ac:dyDescent="0.35">
      <c r="A93" s="5" t="s">
        <v>244</v>
      </c>
      <c r="B93" s="5" t="s">
        <v>28</v>
      </c>
      <c r="C93" s="5" t="s">
        <v>7</v>
      </c>
      <c r="D93" s="5" t="s">
        <v>559</v>
      </c>
      <c r="E93" s="5" t="s">
        <v>560</v>
      </c>
      <c r="F93" s="5">
        <v>54</v>
      </c>
      <c r="G93" s="5" t="s">
        <v>431</v>
      </c>
      <c r="H93" s="5">
        <v>652</v>
      </c>
      <c r="I93" s="5" t="s">
        <v>9</v>
      </c>
    </row>
    <row r="94" spans="1:9" x14ac:dyDescent="0.35">
      <c r="A94" s="5" t="s">
        <v>246</v>
      </c>
      <c r="B94" s="5" t="s">
        <v>31</v>
      </c>
      <c r="C94" s="5" t="s">
        <v>7</v>
      </c>
      <c r="D94" s="5" t="s">
        <v>561</v>
      </c>
      <c r="E94" s="5" t="s">
        <v>562</v>
      </c>
      <c r="F94" s="5">
        <v>59</v>
      </c>
      <c r="G94" s="5" t="s">
        <v>563</v>
      </c>
      <c r="H94" s="5">
        <v>699</v>
      </c>
      <c r="I94" s="5" t="s">
        <v>4</v>
      </c>
    </row>
    <row r="95" spans="1:9" x14ac:dyDescent="0.35">
      <c r="A95" s="5" t="s">
        <v>248</v>
      </c>
      <c r="B95" s="5" t="s">
        <v>315</v>
      </c>
      <c r="C95" s="5" t="s">
        <v>2</v>
      </c>
      <c r="D95" s="5" t="s">
        <v>564</v>
      </c>
      <c r="E95" s="5" t="s">
        <v>565</v>
      </c>
      <c r="F95" s="5">
        <v>25</v>
      </c>
      <c r="G95" s="5" t="s">
        <v>437</v>
      </c>
      <c r="H95" s="5">
        <v>817</v>
      </c>
      <c r="I95" s="5" t="s">
        <v>4</v>
      </c>
    </row>
    <row r="96" spans="1:9" x14ac:dyDescent="0.35">
      <c r="A96" s="5" t="s">
        <v>250</v>
      </c>
      <c r="B96" s="5" t="s">
        <v>17</v>
      </c>
      <c r="C96" s="5" t="s">
        <v>459</v>
      </c>
      <c r="D96" s="5" t="s">
        <v>566</v>
      </c>
      <c r="E96" s="5" t="s">
        <v>567</v>
      </c>
      <c r="F96" s="5">
        <v>22</v>
      </c>
      <c r="G96" s="5" t="s">
        <v>568</v>
      </c>
      <c r="H96" s="5">
        <v>686</v>
      </c>
      <c r="I96" s="5" t="s">
        <v>19</v>
      </c>
    </row>
    <row r="97" spans="1:9" x14ac:dyDescent="0.35">
      <c r="A97" s="5" t="s">
        <v>251</v>
      </c>
      <c r="B97" s="5" t="s">
        <v>11</v>
      </c>
      <c r="C97" s="5" t="s">
        <v>25</v>
      </c>
      <c r="D97" s="5" t="s">
        <v>569</v>
      </c>
      <c r="E97" s="5" t="s">
        <v>570</v>
      </c>
      <c r="F97" s="5">
        <v>119</v>
      </c>
      <c r="G97" s="5"/>
      <c r="H97" s="5">
        <v>712</v>
      </c>
      <c r="I97" s="5" t="s">
        <v>19</v>
      </c>
    </row>
    <row r="98" spans="1:9" x14ac:dyDescent="0.35">
      <c r="A98" s="5" t="s">
        <v>254</v>
      </c>
      <c r="B98" s="5" t="s">
        <v>17</v>
      </c>
      <c r="C98" s="5" t="s">
        <v>25</v>
      </c>
      <c r="D98" s="5" t="s">
        <v>571</v>
      </c>
      <c r="E98" s="5" t="s">
        <v>572</v>
      </c>
      <c r="F98" s="5">
        <v>71</v>
      </c>
      <c r="G98" s="5" t="s">
        <v>573</v>
      </c>
      <c r="H98" s="5">
        <v>703</v>
      </c>
      <c r="I98" s="5" t="s">
        <v>9</v>
      </c>
    </row>
    <row r="99" spans="1:9" x14ac:dyDescent="0.35">
      <c r="A99" s="5" t="s">
        <v>257</v>
      </c>
      <c r="B99" s="5" t="s">
        <v>31</v>
      </c>
      <c r="C99" s="5" t="s">
        <v>12</v>
      </c>
      <c r="D99" s="5" t="s">
        <v>574</v>
      </c>
      <c r="E99" s="5" t="s">
        <v>575</v>
      </c>
      <c r="F99" s="5">
        <v>119</v>
      </c>
      <c r="G99" s="5" t="s">
        <v>576</v>
      </c>
      <c r="H99" s="5">
        <v>858</v>
      </c>
      <c r="I99" s="5" t="s">
        <v>4</v>
      </c>
    </row>
    <row r="100" spans="1:9" x14ac:dyDescent="0.35">
      <c r="A100" s="5" t="s">
        <v>258</v>
      </c>
      <c r="B100" s="5" t="s">
        <v>577</v>
      </c>
      <c r="C100" s="5" t="s">
        <v>32</v>
      </c>
      <c r="D100" s="5" t="s">
        <v>578</v>
      </c>
      <c r="E100" s="5" t="s">
        <v>579</v>
      </c>
      <c r="F100" s="5">
        <v>61</v>
      </c>
      <c r="G100" s="5" t="s">
        <v>580</v>
      </c>
      <c r="H100" s="5">
        <v>862</v>
      </c>
      <c r="I100" s="5" t="s">
        <v>4</v>
      </c>
    </row>
    <row r="101" spans="1:9" x14ac:dyDescent="0.35">
      <c r="A101" s="5" t="s">
        <v>260</v>
      </c>
      <c r="B101" s="5" t="s">
        <v>1</v>
      </c>
      <c r="C101" s="5" t="s">
        <v>403</v>
      </c>
      <c r="D101" s="5" t="s">
        <v>581</v>
      </c>
      <c r="E101" s="5" t="s">
        <v>582</v>
      </c>
      <c r="F101" s="5">
        <v>82</v>
      </c>
      <c r="G101" s="5" t="s">
        <v>583</v>
      </c>
      <c r="H101" s="5">
        <v>697</v>
      </c>
      <c r="I101" s="5" t="s">
        <v>9</v>
      </c>
    </row>
    <row r="102" spans="1:9" x14ac:dyDescent="0.35">
      <c r="A102" s="5" t="s">
        <v>199</v>
      </c>
      <c r="B102" s="5" t="s">
        <v>6</v>
      </c>
      <c r="C102" s="5" t="s">
        <v>7</v>
      </c>
      <c r="D102" s="5" t="s">
        <v>508</v>
      </c>
      <c r="E102" s="5" t="s">
        <v>509</v>
      </c>
      <c r="F102" s="5">
        <v>19</v>
      </c>
      <c r="G102" s="5" t="s">
        <v>510</v>
      </c>
      <c r="H102" s="5">
        <v>668</v>
      </c>
      <c r="I102" s="5" t="s">
        <v>19</v>
      </c>
    </row>
    <row r="103" spans="1:9" x14ac:dyDescent="0.35">
      <c r="A103" s="5" t="s">
        <v>230</v>
      </c>
      <c r="B103" s="5" t="s">
        <v>311</v>
      </c>
      <c r="C103" s="5" t="s">
        <v>12</v>
      </c>
      <c r="D103" s="5" t="s">
        <v>545</v>
      </c>
      <c r="E103" s="5" t="s">
        <v>546</v>
      </c>
      <c r="F103" s="5">
        <v>66</v>
      </c>
      <c r="G103" s="5" t="s">
        <v>314</v>
      </c>
      <c r="H103" s="5">
        <v>826</v>
      </c>
      <c r="I103" s="5" t="s">
        <v>19</v>
      </c>
    </row>
    <row r="104" spans="1:9" x14ac:dyDescent="0.35">
      <c r="A104" s="5" t="s">
        <v>125</v>
      </c>
      <c r="B104" s="5" t="s">
        <v>412</v>
      </c>
      <c r="C104" s="5" t="s">
        <v>12</v>
      </c>
      <c r="D104" s="5" t="s">
        <v>423</v>
      </c>
      <c r="E104" s="5" t="s">
        <v>424</v>
      </c>
      <c r="F104" s="5">
        <v>14</v>
      </c>
      <c r="G104" s="5" t="s">
        <v>425</v>
      </c>
      <c r="H104" s="5">
        <v>718</v>
      </c>
      <c r="I104" s="5" t="s">
        <v>19</v>
      </c>
    </row>
    <row r="105" spans="1:9" x14ac:dyDescent="0.35">
      <c r="A105" s="5" t="s">
        <v>250</v>
      </c>
      <c r="B105" s="5" t="s">
        <v>17</v>
      </c>
      <c r="C105" s="5" t="s">
        <v>7</v>
      </c>
      <c r="D105" s="5" t="s">
        <v>566</v>
      </c>
      <c r="E105" s="5" t="s">
        <v>567</v>
      </c>
      <c r="F105" s="5">
        <v>22</v>
      </c>
      <c r="G105" s="5" t="s">
        <v>568</v>
      </c>
      <c r="H105" s="5">
        <v>686</v>
      </c>
      <c r="I105" s="5" t="s">
        <v>19</v>
      </c>
    </row>
    <row r="106" spans="1:9" x14ac:dyDescent="0.35">
      <c r="A106" s="5" t="s">
        <v>79</v>
      </c>
      <c r="B106" s="5" t="s">
        <v>130</v>
      </c>
      <c r="C106" s="5" t="s">
        <v>12</v>
      </c>
      <c r="D106" s="5" t="s">
        <v>374</v>
      </c>
      <c r="E106" s="5" t="s">
        <v>375</v>
      </c>
      <c r="F106" s="5">
        <v>53</v>
      </c>
      <c r="G106" s="5" t="s">
        <v>376</v>
      </c>
      <c r="H106" s="5">
        <v>654</v>
      </c>
      <c r="I106" s="5"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62A7-2FB4-4E41-AECA-6F67E6130981}">
  <dimension ref="A1:D21"/>
  <sheetViews>
    <sheetView showGridLines="0" workbookViewId="0">
      <selection activeCell="E3" sqref="E3"/>
    </sheetView>
  </sheetViews>
  <sheetFormatPr defaultRowHeight="14.5" x14ac:dyDescent="0.35"/>
  <cols>
    <col min="1" max="1" width="2.81640625" bestFit="1" customWidth="1"/>
    <col min="2" max="2" width="27.81640625" bestFit="1" customWidth="1"/>
    <col min="3" max="3" width="41.1796875" bestFit="1" customWidth="1"/>
    <col min="4" max="4" width="27.26953125" bestFit="1" customWidth="1"/>
  </cols>
  <sheetData>
    <row r="1" spans="1:4" ht="25" customHeight="1" x14ac:dyDescent="0.35">
      <c r="A1" s="16" t="s">
        <v>584</v>
      </c>
      <c r="B1" s="16" t="s">
        <v>585</v>
      </c>
      <c r="C1" s="16" t="s">
        <v>586</v>
      </c>
      <c r="D1" s="16" t="s">
        <v>587</v>
      </c>
    </row>
    <row r="2" spans="1:4" x14ac:dyDescent="0.35">
      <c r="A2" s="17">
        <v>1</v>
      </c>
      <c r="B2" s="17" t="s">
        <v>588</v>
      </c>
      <c r="C2" s="17" t="s">
        <v>589</v>
      </c>
      <c r="D2" s="17" t="s">
        <v>590</v>
      </c>
    </row>
    <row r="3" spans="1:4" x14ac:dyDescent="0.35">
      <c r="A3" s="18">
        <v>2</v>
      </c>
      <c r="B3" s="18" t="s">
        <v>591</v>
      </c>
      <c r="C3" s="18" t="s">
        <v>592</v>
      </c>
      <c r="D3" s="18" t="s">
        <v>593</v>
      </c>
    </row>
    <row r="4" spans="1:4" x14ac:dyDescent="0.35">
      <c r="A4" s="17">
        <v>3</v>
      </c>
      <c r="B4" s="17" t="s">
        <v>594</v>
      </c>
      <c r="C4" s="17" t="s">
        <v>595</v>
      </c>
      <c r="D4" s="17" t="s">
        <v>596</v>
      </c>
    </row>
    <row r="5" spans="1:4" x14ac:dyDescent="0.35">
      <c r="A5" s="18">
        <v>4</v>
      </c>
      <c r="B5" s="18" t="s">
        <v>597</v>
      </c>
      <c r="C5" s="18" t="s">
        <v>598</v>
      </c>
      <c r="D5" s="18" t="s">
        <v>599</v>
      </c>
    </row>
    <row r="6" spans="1:4" x14ac:dyDescent="0.35">
      <c r="A6" s="17">
        <v>5</v>
      </c>
      <c r="B6" s="17" t="s">
        <v>600</v>
      </c>
      <c r="C6" s="17" t="s">
        <v>601</v>
      </c>
      <c r="D6" s="17" t="s">
        <v>602</v>
      </c>
    </row>
    <row r="7" spans="1:4" x14ac:dyDescent="0.35">
      <c r="A7" s="18">
        <v>6</v>
      </c>
      <c r="B7" s="18" t="s">
        <v>603</v>
      </c>
      <c r="C7" s="18" t="s">
        <v>604</v>
      </c>
      <c r="D7" s="18" t="s">
        <v>605</v>
      </c>
    </row>
    <row r="8" spans="1:4" x14ac:dyDescent="0.35">
      <c r="A8" s="17">
        <v>7</v>
      </c>
      <c r="B8" s="17" t="s">
        <v>606</v>
      </c>
      <c r="C8" s="17" t="s">
        <v>607</v>
      </c>
      <c r="D8" s="17" t="s">
        <v>608</v>
      </c>
    </row>
    <row r="9" spans="1:4" x14ac:dyDescent="0.35">
      <c r="A9" s="18">
        <v>8</v>
      </c>
      <c r="B9" s="18" t="s">
        <v>609</v>
      </c>
      <c r="C9" s="18" t="s">
        <v>610</v>
      </c>
      <c r="D9" s="18" t="s">
        <v>611</v>
      </c>
    </row>
    <row r="10" spans="1:4" x14ac:dyDescent="0.35">
      <c r="A10" s="17">
        <v>9</v>
      </c>
      <c r="B10" s="17" t="s">
        <v>612</v>
      </c>
      <c r="C10" s="17" t="s">
        <v>613</v>
      </c>
      <c r="D10" s="17" t="s">
        <v>614</v>
      </c>
    </row>
    <row r="11" spans="1:4" x14ac:dyDescent="0.35">
      <c r="A11" s="18">
        <v>10</v>
      </c>
      <c r="B11" s="18" t="s">
        <v>615</v>
      </c>
      <c r="C11" s="18" t="s">
        <v>616</v>
      </c>
      <c r="D11" s="18" t="s">
        <v>617</v>
      </c>
    </row>
    <row r="12" spans="1:4" x14ac:dyDescent="0.35">
      <c r="A12" s="17">
        <v>11</v>
      </c>
      <c r="B12" s="17" t="s">
        <v>618</v>
      </c>
      <c r="C12" s="17" t="s">
        <v>619</v>
      </c>
      <c r="D12" s="17" t="s">
        <v>620</v>
      </c>
    </row>
    <row r="13" spans="1:4" x14ac:dyDescent="0.35">
      <c r="A13" s="18">
        <v>12</v>
      </c>
      <c r="B13" s="18" t="s">
        <v>621</v>
      </c>
      <c r="C13" s="18" t="s">
        <v>622</v>
      </c>
      <c r="D13" s="18" t="s">
        <v>623</v>
      </c>
    </row>
    <row r="14" spans="1:4" x14ac:dyDescent="0.35">
      <c r="A14" s="17">
        <v>13</v>
      </c>
      <c r="B14" s="17" t="s">
        <v>624</v>
      </c>
      <c r="C14" s="17" t="s">
        <v>625</v>
      </c>
      <c r="D14" s="17" t="s">
        <v>626</v>
      </c>
    </row>
    <row r="15" spans="1:4" x14ac:dyDescent="0.35">
      <c r="A15" s="18">
        <v>14</v>
      </c>
      <c r="B15" s="18" t="s">
        <v>627</v>
      </c>
      <c r="C15" s="18" t="s">
        <v>628</v>
      </c>
      <c r="D15" s="18" t="s">
        <v>629</v>
      </c>
    </row>
    <row r="16" spans="1:4" x14ac:dyDescent="0.35">
      <c r="A16" s="17">
        <v>15</v>
      </c>
      <c r="B16" s="17" t="s">
        <v>630</v>
      </c>
      <c r="C16" s="17" t="s">
        <v>631</v>
      </c>
      <c r="D16" s="17" t="s">
        <v>632</v>
      </c>
    </row>
    <row r="17" spans="1:4" x14ac:dyDescent="0.35">
      <c r="A17" s="18">
        <v>16</v>
      </c>
      <c r="B17" s="18" t="s">
        <v>633</v>
      </c>
      <c r="C17" s="18" t="s">
        <v>634</v>
      </c>
      <c r="D17" s="18" t="s">
        <v>635</v>
      </c>
    </row>
    <row r="18" spans="1:4" x14ac:dyDescent="0.35">
      <c r="A18" s="17">
        <v>17</v>
      </c>
      <c r="B18" s="17" t="s">
        <v>636</v>
      </c>
      <c r="C18" s="17" t="s">
        <v>637</v>
      </c>
      <c r="D18" s="17" t="s">
        <v>638</v>
      </c>
    </row>
    <row r="19" spans="1:4" x14ac:dyDescent="0.35">
      <c r="A19" s="18">
        <v>18</v>
      </c>
      <c r="B19" s="18" t="s">
        <v>639</v>
      </c>
      <c r="C19" s="18" t="s">
        <v>640</v>
      </c>
      <c r="D19" s="18" t="s">
        <v>641</v>
      </c>
    </row>
    <row r="20" spans="1:4" x14ac:dyDescent="0.35">
      <c r="A20" s="17">
        <v>19</v>
      </c>
      <c r="B20" s="17" t="s">
        <v>642</v>
      </c>
      <c r="C20" s="17" t="s">
        <v>643</v>
      </c>
      <c r="D20" s="17" t="s">
        <v>644</v>
      </c>
    </row>
    <row r="21" spans="1:4" x14ac:dyDescent="0.35">
      <c r="A21" s="18">
        <v>20</v>
      </c>
      <c r="B21" s="18" t="s">
        <v>645</v>
      </c>
      <c r="C21" s="18" t="s">
        <v>646</v>
      </c>
      <c r="D21" s="18" t="s">
        <v>647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6A70-D499-436D-A112-C7C2A96E74DF}">
  <dimension ref="A3:E15"/>
  <sheetViews>
    <sheetView showGridLines="0" zoomScale="78" zoomScaleNormal="78" workbookViewId="0">
      <selection activeCell="D12" sqref="D12"/>
    </sheetView>
  </sheetViews>
  <sheetFormatPr defaultRowHeight="14.5" x14ac:dyDescent="0.35"/>
  <cols>
    <col min="4" max="4" width="14.08984375" bestFit="1" customWidth="1"/>
    <col min="5" max="5" width="13.26953125" style="11" bestFit="1" customWidth="1"/>
  </cols>
  <sheetData>
    <row r="3" spans="1:5" x14ac:dyDescent="0.35">
      <c r="A3" s="6" t="s">
        <v>274</v>
      </c>
      <c r="B3" s="5" t="s">
        <v>63</v>
      </c>
      <c r="D3" s="6" t="s">
        <v>272</v>
      </c>
      <c r="E3" s="10" t="str">
        <f>_xlfn.XLOOKUP($B$3,tblLoan[Loan_ID],tblLoan[Customer_Name])</f>
        <v>Sneha Dutta</v>
      </c>
    </row>
    <row r="4" spans="1:5" x14ac:dyDescent="0.35">
      <c r="D4" s="6" t="s">
        <v>273</v>
      </c>
      <c r="E4" s="10" t="str">
        <f>_xlfn.XLOOKUP($B$3,tblLoan[Loan_ID],tblLoan[Loan_Type])</f>
        <v>Education Loan</v>
      </c>
    </row>
    <row r="5" spans="1:5" x14ac:dyDescent="0.35">
      <c r="D5" s="6" t="s">
        <v>291</v>
      </c>
      <c r="E5" s="12">
        <f>_xlfn.XLOOKUP($B$3,tblLoan[Loan_ID],tblLoan[Loan_Amount])</f>
        <v>1824555</v>
      </c>
    </row>
    <row r="6" spans="1:5" x14ac:dyDescent="0.35">
      <c r="D6" s="6" t="s">
        <v>276</v>
      </c>
      <c r="E6" s="13">
        <f>_xlfn.XLOOKUP($B$3,tblLoan[Loan_ID],tblLoan[Interest_Rate])</f>
        <v>8.6199999999999999E-2</v>
      </c>
    </row>
    <row r="7" spans="1:5" x14ac:dyDescent="0.35">
      <c r="D7" s="6" t="s">
        <v>277</v>
      </c>
      <c r="E7" s="10">
        <f>_xlfn.XLOOKUP($B$3,tblLoan[Loan_ID],tblLoan[Duration_Years])</f>
        <v>7</v>
      </c>
    </row>
    <row r="8" spans="1:5" x14ac:dyDescent="0.35">
      <c r="D8" s="6" t="s">
        <v>278</v>
      </c>
      <c r="E8" s="14" t="str">
        <f>_xlfn.XLOOKUP($B$3,tblLoan[Loan_ID],tblLoan[EMI_Start_Date])</f>
        <v>03-05-2024</v>
      </c>
    </row>
    <row r="9" spans="1:5" x14ac:dyDescent="0.35">
      <c r="D9" s="6" t="s">
        <v>279</v>
      </c>
      <c r="E9" s="10">
        <f>_xlfn.XLOOKUP($B$3,tblLoan[Loan_ID],tblLoan[Credit_Score])</f>
        <v>679</v>
      </c>
    </row>
    <row r="10" spans="1:5" x14ac:dyDescent="0.35">
      <c r="D10" s="6" t="s">
        <v>280</v>
      </c>
      <c r="E10" s="10" t="str">
        <f>_xlfn.XLOOKUP($B$3,tblLoan[Loan_ID],tblLoan[Loan_Status])</f>
        <v>Closed</v>
      </c>
    </row>
    <row r="13" spans="1:5" x14ac:dyDescent="0.35">
      <c r="D13" s="6" t="s">
        <v>281</v>
      </c>
      <c r="E13" s="15">
        <f>-PMT($E$6/12,$E$7*12,$E$5)</f>
        <v>29004.761776866253</v>
      </c>
    </row>
    <row r="14" spans="1:5" x14ac:dyDescent="0.35">
      <c r="D14" s="6" t="s">
        <v>282</v>
      </c>
      <c r="E14" s="15">
        <f>$E$13*$E$7*12</f>
        <v>2436399.9892567652</v>
      </c>
    </row>
    <row r="15" spans="1:5" x14ac:dyDescent="0.35">
      <c r="D15" s="6" t="s">
        <v>283</v>
      </c>
      <c r="E15" s="15">
        <f>$E$14-$E$5</f>
        <v>611844.98925676523</v>
      </c>
    </row>
  </sheetData>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A7EBD3D-CE07-4216-B36B-D5A7B877A3AD}">
          <x14:formula1>
            <xm:f>'Cleaned Data'!$A$2:$A$101</xm:f>
          </x14:formula1>
          <xm:sqref>B3:C3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01BE-DB2C-4D61-B0A4-297E1B2B169A}">
  <dimension ref="A1:B66"/>
  <sheetViews>
    <sheetView showGridLines="0" topLeftCell="C2" zoomScale="90" workbookViewId="0">
      <selection activeCell="AD26" sqref="AD26"/>
    </sheetView>
  </sheetViews>
  <sheetFormatPr defaultRowHeight="14.5" x14ac:dyDescent="0.35"/>
  <cols>
    <col min="1" max="1" width="13.36328125" bestFit="1" customWidth="1"/>
    <col min="2" max="2" width="17.90625" bestFit="1" customWidth="1"/>
  </cols>
  <sheetData>
    <row r="1" spans="1:2" x14ac:dyDescent="0.35">
      <c r="A1" s="24" t="s">
        <v>271</v>
      </c>
      <c r="B1" t="s">
        <v>694</v>
      </c>
    </row>
    <row r="3" spans="1:2" x14ac:dyDescent="0.35">
      <c r="A3" s="24" t="s">
        <v>691</v>
      </c>
      <c r="B3" t="s">
        <v>693</v>
      </c>
    </row>
    <row r="4" spans="1:2" x14ac:dyDescent="0.35">
      <c r="A4" s="11" t="s">
        <v>92</v>
      </c>
      <c r="B4">
        <v>875</v>
      </c>
    </row>
    <row r="5" spans="1:2" x14ac:dyDescent="0.35">
      <c r="A5" s="11" t="s">
        <v>261</v>
      </c>
      <c r="B5">
        <v>767</v>
      </c>
    </row>
    <row r="6" spans="1:2" x14ac:dyDescent="0.35">
      <c r="A6" s="11" t="s">
        <v>115</v>
      </c>
      <c r="B6">
        <v>1595</v>
      </c>
    </row>
    <row r="7" spans="1:2" x14ac:dyDescent="0.35">
      <c r="A7" s="11" t="s">
        <v>61</v>
      </c>
      <c r="B7">
        <v>3001</v>
      </c>
    </row>
    <row r="8" spans="1:2" x14ac:dyDescent="0.35">
      <c r="A8" s="11" t="s">
        <v>240</v>
      </c>
      <c r="B8">
        <v>763</v>
      </c>
    </row>
    <row r="9" spans="1:2" x14ac:dyDescent="0.35">
      <c r="A9" s="11" t="s">
        <v>204</v>
      </c>
      <c r="B9">
        <v>755</v>
      </c>
    </row>
    <row r="10" spans="1:2" x14ac:dyDescent="0.35">
      <c r="A10" s="11" t="s">
        <v>185</v>
      </c>
      <c r="B10">
        <v>713</v>
      </c>
    </row>
    <row r="11" spans="1:2" x14ac:dyDescent="0.35">
      <c r="A11" s="11" t="s">
        <v>100</v>
      </c>
      <c r="B11">
        <v>1427</v>
      </c>
    </row>
    <row r="12" spans="1:2" x14ac:dyDescent="0.35">
      <c r="A12" s="11" t="s">
        <v>49</v>
      </c>
      <c r="B12">
        <v>1691</v>
      </c>
    </row>
    <row r="13" spans="1:2" x14ac:dyDescent="0.35">
      <c r="A13" s="11" t="s">
        <v>95</v>
      </c>
      <c r="B13">
        <v>821</v>
      </c>
    </row>
    <row r="14" spans="1:2" x14ac:dyDescent="0.35">
      <c r="A14" s="11" t="s">
        <v>46</v>
      </c>
      <c r="B14">
        <v>2272</v>
      </c>
    </row>
    <row r="15" spans="1:2" x14ac:dyDescent="0.35">
      <c r="A15" s="11" t="s">
        <v>249</v>
      </c>
      <c r="B15">
        <v>751</v>
      </c>
    </row>
    <row r="16" spans="1:2" x14ac:dyDescent="0.35">
      <c r="A16" s="11" t="s">
        <v>159</v>
      </c>
      <c r="B16">
        <v>751</v>
      </c>
    </row>
    <row r="17" spans="1:2" x14ac:dyDescent="0.35">
      <c r="A17" s="11" t="s">
        <v>31</v>
      </c>
      <c r="B17">
        <v>1436</v>
      </c>
    </row>
    <row r="18" spans="1:2" x14ac:dyDescent="0.35">
      <c r="A18" s="11" t="s">
        <v>156</v>
      </c>
      <c r="B18">
        <v>869</v>
      </c>
    </row>
    <row r="19" spans="1:2" x14ac:dyDescent="0.35">
      <c r="A19" s="11" t="s">
        <v>58</v>
      </c>
      <c r="B19">
        <v>664</v>
      </c>
    </row>
    <row r="20" spans="1:2" x14ac:dyDescent="0.35">
      <c r="A20" s="11" t="s">
        <v>77</v>
      </c>
      <c r="B20">
        <v>1461</v>
      </c>
    </row>
    <row r="21" spans="1:2" x14ac:dyDescent="0.35">
      <c r="A21" s="11" t="s">
        <v>231</v>
      </c>
      <c r="B21">
        <v>679</v>
      </c>
    </row>
    <row r="22" spans="1:2" x14ac:dyDescent="0.35">
      <c r="A22" s="11" t="s">
        <v>69</v>
      </c>
      <c r="B22">
        <v>875</v>
      </c>
    </row>
    <row r="23" spans="1:2" x14ac:dyDescent="0.35">
      <c r="A23" s="11" t="s">
        <v>182</v>
      </c>
      <c r="B23">
        <v>653</v>
      </c>
    </row>
    <row r="24" spans="1:2" x14ac:dyDescent="0.35">
      <c r="A24" s="11" t="s">
        <v>89</v>
      </c>
      <c r="B24">
        <v>679</v>
      </c>
    </row>
    <row r="25" spans="1:2" x14ac:dyDescent="0.35">
      <c r="A25" s="11" t="s">
        <v>144</v>
      </c>
      <c r="B25">
        <v>1513</v>
      </c>
    </row>
    <row r="26" spans="1:2" x14ac:dyDescent="0.35">
      <c r="A26" s="11" t="s">
        <v>37</v>
      </c>
      <c r="B26">
        <v>1585</v>
      </c>
    </row>
    <row r="27" spans="1:2" x14ac:dyDescent="0.35">
      <c r="A27" s="11" t="s">
        <v>106</v>
      </c>
      <c r="B27">
        <v>2016</v>
      </c>
    </row>
    <row r="28" spans="1:2" x14ac:dyDescent="0.35">
      <c r="A28" s="11" t="s">
        <v>228</v>
      </c>
      <c r="B28">
        <v>1561</v>
      </c>
    </row>
    <row r="29" spans="1:2" x14ac:dyDescent="0.35">
      <c r="A29" s="11" t="s">
        <v>40</v>
      </c>
      <c r="B29">
        <v>825</v>
      </c>
    </row>
    <row r="30" spans="1:2" x14ac:dyDescent="0.35">
      <c r="A30" s="11" t="s">
        <v>217</v>
      </c>
      <c r="B30">
        <v>838</v>
      </c>
    </row>
    <row r="31" spans="1:2" x14ac:dyDescent="0.35">
      <c r="A31" s="11" t="s">
        <v>225</v>
      </c>
      <c r="B31">
        <v>725</v>
      </c>
    </row>
    <row r="32" spans="1:2" x14ac:dyDescent="0.35">
      <c r="A32" s="11" t="s">
        <v>252</v>
      </c>
      <c r="B32">
        <v>895</v>
      </c>
    </row>
    <row r="33" spans="1:2" x14ac:dyDescent="0.35">
      <c r="A33" s="11" t="s">
        <v>135</v>
      </c>
      <c r="B33">
        <v>718</v>
      </c>
    </row>
    <row r="34" spans="1:2" x14ac:dyDescent="0.35">
      <c r="A34" s="11" t="s">
        <v>180</v>
      </c>
      <c r="B34">
        <v>762</v>
      </c>
    </row>
    <row r="35" spans="1:2" x14ac:dyDescent="0.35">
      <c r="A35" s="11" t="s">
        <v>162</v>
      </c>
      <c r="B35">
        <v>717</v>
      </c>
    </row>
    <row r="36" spans="1:2" x14ac:dyDescent="0.35">
      <c r="A36" s="11" t="s">
        <v>121</v>
      </c>
      <c r="B36">
        <v>651</v>
      </c>
    </row>
    <row r="37" spans="1:2" x14ac:dyDescent="0.35">
      <c r="A37" s="11" t="s">
        <v>17</v>
      </c>
      <c r="B37">
        <v>2195</v>
      </c>
    </row>
    <row r="38" spans="1:2" x14ac:dyDescent="0.35">
      <c r="A38" s="11" t="s">
        <v>43</v>
      </c>
      <c r="B38">
        <v>1394</v>
      </c>
    </row>
    <row r="39" spans="1:2" x14ac:dyDescent="0.35">
      <c r="A39" s="11" t="s">
        <v>168</v>
      </c>
      <c r="B39">
        <v>1482</v>
      </c>
    </row>
    <row r="40" spans="1:2" x14ac:dyDescent="0.35">
      <c r="A40" s="11" t="s">
        <v>24</v>
      </c>
      <c r="B40">
        <v>1560</v>
      </c>
    </row>
    <row r="41" spans="1:2" x14ac:dyDescent="0.35">
      <c r="A41" s="11" t="s">
        <v>86</v>
      </c>
      <c r="B41">
        <v>1559</v>
      </c>
    </row>
    <row r="42" spans="1:2" x14ac:dyDescent="0.35">
      <c r="A42" s="11" t="s">
        <v>147</v>
      </c>
      <c r="B42">
        <v>848</v>
      </c>
    </row>
    <row r="43" spans="1:2" x14ac:dyDescent="0.35">
      <c r="A43" s="11" t="s">
        <v>171</v>
      </c>
      <c r="B43">
        <v>864</v>
      </c>
    </row>
    <row r="44" spans="1:2" x14ac:dyDescent="0.35">
      <c r="A44" s="11" t="s">
        <v>83</v>
      </c>
      <c r="B44">
        <v>892</v>
      </c>
    </row>
    <row r="45" spans="1:2" x14ac:dyDescent="0.35">
      <c r="A45" s="11" t="s">
        <v>138</v>
      </c>
      <c r="B45">
        <v>735</v>
      </c>
    </row>
    <row r="46" spans="1:2" x14ac:dyDescent="0.35">
      <c r="A46" s="11" t="s">
        <v>1</v>
      </c>
      <c r="B46">
        <v>752</v>
      </c>
    </row>
    <row r="47" spans="1:2" x14ac:dyDescent="0.35">
      <c r="A47" s="11" t="s">
        <v>130</v>
      </c>
      <c r="B47">
        <v>2062</v>
      </c>
    </row>
    <row r="48" spans="1:2" x14ac:dyDescent="0.35">
      <c r="A48" s="11" t="s">
        <v>118</v>
      </c>
      <c r="B48">
        <v>1377</v>
      </c>
    </row>
    <row r="49" spans="1:2" x14ac:dyDescent="0.35">
      <c r="A49" s="11" t="s">
        <v>177</v>
      </c>
      <c r="B49">
        <v>890</v>
      </c>
    </row>
    <row r="50" spans="1:2" x14ac:dyDescent="0.35">
      <c r="A50" s="11" t="s">
        <v>11</v>
      </c>
      <c r="B50">
        <v>2417</v>
      </c>
    </row>
    <row r="51" spans="1:2" x14ac:dyDescent="0.35">
      <c r="A51" s="11" t="s">
        <v>214</v>
      </c>
      <c r="B51">
        <v>769</v>
      </c>
    </row>
    <row r="52" spans="1:2" x14ac:dyDescent="0.35">
      <c r="A52" s="11" t="s">
        <v>80</v>
      </c>
      <c r="B52">
        <v>2418</v>
      </c>
    </row>
    <row r="53" spans="1:2" x14ac:dyDescent="0.35">
      <c r="A53" s="11" t="s">
        <v>103</v>
      </c>
      <c r="B53">
        <v>1402</v>
      </c>
    </row>
    <row r="54" spans="1:2" x14ac:dyDescent="0.35">
      <c r="A54" s="11" t="s">
        <v>243</v>
      </c>
      <c r="B54">
        <v>1653</v>
      </c>
    </row>
    <row r="55" spans="1:2" x14ac:dyDescent="0.35">
      <c r="A55" s="11" t="s">
        <v>28</v>
      </c>
      <c r="B55">
        <v>3883</v>
      </c>
    </row>
    <row r="56" spans="1:2" x14ac:dyDescent="0.35">
      <c r="A56" s="11" t="s">
        <v>55</v>
      </c>
      <c r="B56">
        <v>1582</v>
      </c>
    </row>
    <row r="57" spans="1:2" x14ac:dyDescent="0.35">
      <c r="A57" s="11" t="s">
        <v>207</v>
      </c>
      <c r="B57">
        <v>714</v>
      </c>
    </row>
    <row r="58" spans="1:2" x14ac:dyDescent="0.35">
      <c r="A58" s="11" t="s">
        <v>64</v>
      </c>
      <c r="B58">
        <v>679</v>
      </c>
    </row>
    <row r="59" spans="1:2" x14ac:dyDescent="0.35">
      <c r="A59" s="11" t="s">
        <v>174</v>
      </c>
      <c r="B59">
        <v>1438</v>
      </c>
    </row>
    <row r="60" spans="1:2" x14ac:dyDescent="0.35">
      <c r="A60" s="11" t="s">
        <v>141</v>
      </c>
      <c r="B60">
        <v>696</v>
      </c>
    </row>
    <row r="61" spans="1:2" x14ac:dyDescent="0.35">
      <c r="A61" s="11" t="s">
        <v>6</v>
      </c>
      <c r="B61">
        <v>1484</v>
      </c>
    </row>
    <row r="62" spans="1:2" x14ac:dyDescent="0.35">
      <c r="A62" s="11" t="s">
        <v>21</v>
      </c>
      <c r="B62">
        <v>1572</v>
      </c>
    </row>
    <row r="63" spans="1:2" x14ac:dyDescent="0.35">
      <c r="A63" s="11" t="s">
        <v>255</v>
      </c>
      <c r="B63">
        <v>706</v>
      </c>
    </row>
    <row r="64" spans="1:2" x14ac:dyDescent="0.35">
      <c r="A64" s="11" t="s">
        <v>52</v>
      </c>
      <c r="B64">
        <v>881</v>
      </c>
    </row>
    <row r="65" spans="1:2" x14ac:dyDescent="0.35">
      <c r="A65" s="11" t="s">
        <v>74</v>
      </c>
      <c r="B65">
        <v>799</v>
      </c>
    </row>
    <row r="66" spans="1:2" x14ac:dyDescent="0.35">
      <c r="A66" s="11" t="s">
        <v>692</v>
      </c>
      <c r="B66">
        <v>76007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E169-45AF-48CB-99BE-368105578199}">
  <dimension ref="O3:P9"/>
  <sheetViews>
    <sheetView showGridLines="0" workbookViewId="0">
      <selection activeCell="Q15" sqref="Q15"/>
    </sheetView>
  </sheetViews>
  <sheetFormatPr defaultRowHeight="14.5" x14ac:dyDescent="0.35"/>
  <cols>
    <col min="1" max="1" width="13.26953125" bestFit="1" customWidth="1"/>
    <col min="2" max="2" width="15" bestFit="1" customWidth="1"/>
    <col min="15" max="15" width="19.36328125" customWidth="1"/>
    <col min="16" max="16" width="25.26953125" customWidth="1"/>
  </cols>
  <sheetData>
    <row r="3" spans="15:16" x14ac:dyDescent="0.35">
      <c r="O3" s="24" t="s">
        <v>691</v>
      </c>
      <c r="P3" t="s">
        <v>695</v>
      </c>
    </row>
    <row r="4" spans="15:16" x14ac:dyDescent="0.35">
      <c r="O4" s="11" t="s">
        <v>25</v>
      </c>
      <c r="P4">
        <v>15</v>
      </c>
    </row>
    <row r="5" spans="15:16" x14ac:dyDescent="0.35">
      <c r="O5" s="11" t="s">
        <v>2</v>
      </c>
      <c r="P5">
        <v>21</v>
      </c>
    </row>
    <row r="6" spans="15:16" x14ac:dyDescent="0.35">
      <c r="O6" s="11" t="s">
        <v>12</v>
      </c>
      <c r="P6">
        <v>24</v>
      </c>
    </row>
    <row r="7" spans="15:16" x14ac:dyDescent="0.35">
      <c r="O7" s="11" t="s">
        <v>7</v>
      </c>
      <c r="P7">
        <v>15</v>
      </c>
    </row>
    <row r="8" spans="15:16" x14ac:dyDescent="0.35">
      <c r="O8" s="11" t="s">
        <v>32</v>
      </c>
      <c r="P8">
        <v>25</v>
      </c>
    </row>
    <row r="9" spans="15:16" x14ac:dyDescent="0.35">
      <c r="O9" s="11" t="s">
        <v>692</v>
      </c>
      <c r="P9">
        <v>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649A-C9AC-42E9-B991-6D9C8F35C905}">
  <dimension ref="A3:B9"/>
  <sheetViews>
    <sheetView showGridLines="0" workbookViewId="0">
      <selection activeCell="Q13" sqref="Q13"/>
    </sheetView>
  </sheetViews>
  <sheetFormatPr defaultRowHeight="14.5" x14ac:dyDescent="0.35"/>
  <cols>
    <col min="1" max="1" width="13.26953125" bestFit="1" customWidth="1"/>
    <col min="2" max="2" width="18.54296875" bestFit="1" customWidth="1"/>
  </cols>
  <sheetData>
    <row r="3" spans="1:2" x14ac:dyDescent="0.35">
      <c r="A3" s="24" t="s">
        <v>691</v>
      </c>
      <c r="B3" t="s">
        <v>696</v>
      </c>
    </row>
    <row r="4" spans="1:2" x14ac:dyDescent="0.35">
      <c r="A4" s="11" t="s">
        <v>25</v>
      </c>
      <c r="B4">
        <v>37038914</v>
      </c>
    </row>
    <row r="5" spans="1:2" x14ac:dyDescent="0.35">
      <c r="A5" s="11" t="s">
        <v>2</v>
      </c>
      <c r="B5">
        <v>20752761</v>
      </c>
    </row>
    <row r="6" spans="1:2" x14ac:dyDescent="0.35">
      <c r="A6" s="11" t="s">
        <v>12</v>
      </c>
      <c r="B6">
        <v>34111375</v>
      </c>
    </row>
    <row r="7" spans="1:2" x14ac:dyDescent="0.35">
      <c r="A7" s="11" t="s">
        <v>7</v>
      </c>
      <c r="B7">
        <v>79135343</v>
      </c>
    </row>
    <row r="8" spans="1:2" x14ac:dyDescent="0.35">
      <c r="A8" s="11" t="s">
        <v>32</v>
      </c>
      <c r="B8">
        <v>27278189</v>
      </c>
    </row>
    <row r="9" spans="1:2" x14ac:dyDescent="0.35">
      <c r="A9" s="11" t="s">
        <v>692</v>
      </c>
      <c r="B9">
        <v>198316582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CAC1-5B82-4A6E-B63B-8BB907C61BA0}">
  <dimension ref="A3:B7"/>
  <sheetViews>
    <sheetView showGridLines="0" workbookViewId="0">
      <selection activeCell="B3" sqref="B3:B4"/>
    </sheetView>
  </sheetViews>
  <sheetFormatPr defaultRowHeight="14.5" x14ac:dyDescent="0.35"/>
  <cols>
    <col min="1" max="1" width="12.453125" bestFit="1" customWidth="1"/>
    <col min="2" max="2" width="15" bestFit="1" customWidth="1"/>
  </cols>
  <sheetData>
    <row r="3" spans="1:2" x14ac:dyDescent="0.35">
      <c r="A3" s="24" t="s">
        <v>691</v>
      </c>
      <c r="B3" t="s">
        <v>695</v>
      </c>
    </row>
    <row r="4" spans="1:2" x14ac:dyDescent="0.35">
      <c r="A4" s="11" t="s">
        <v>4</v>
      </c>
      <c r="B4">
        <v>33</v>
      </c>
    </row>
    <row r="5" spans="1:2" x14ac:dyDescent="0.35">
      <c r="A5" s="11" t="s">
        <v>9</v>
      </c>
      <c r="B5">
        <v>31</v>
      </c>
    </row>
    <row r="6" spans="1:2" x14ac:dyDescent="0.35">
      <c r="A6" s="11" t="s">
        <v>19</v>
      </c>
      <c r="B6">
        <v>36</v>
      </c>
    </row>
    <row r="7" spans="1:2" x14ac:dyDescent="0.35">
      <c r="A7" s="11" t="s">
        <v>692</v>
      </c>
      <c r="B7">
        <v>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5813-422F-431C-88FF-40A2BF5882BB}">
  <dimension ref="A3:CD5"/>
  <sheetViews>
    <sheetView showGridLines="0" topLeftCell="B1" workbookViewId="0">
      <selection activeCell="O23" sqref="O23"/>
    </sheetView>
  </sheetViews>
  <sheetFormatPr defaultRowHeight="14.5" x14ac:dyDescent="0.35"/>
  <cols>
    <col min="1" max="1" width="18.54296875" bestFit="1" customWidth="1"/>
    <col min="2" max="2" width="15.6328125" bestFit="1" customWidth="1"/>
    <col min="3" max="5" width="9.90625" bestFit="1" customWidth="1"/>
    <col min="6" max="6" width="8.90625" bestFit="1" customWidth="1"/>
    <col min="7" max="17" width="9.90625" bestFit="1" customWidth="1"/>
    <col min="18" max="18" width="8.90625" bestFit="1" customWidth="1"/>
    <col min="19" max="21" width="9.90625" bestFit="1" customWidth="1"/>
    <col min="22" max="23" width="8.90625" bestFit="1" customWidth="1"/>
    <col min="24" max="27" width="9.90625" bestFit="1" customWidth="1"/>
    <col min="28" max="28" width="8.90625" bestFit="1" customWidth="1"/>
    <col min="29" max="33" width="9.90625" bestFit="1" customWidth="1"/>
    <col min="34" max="35" width="8.90625" bestFit="1" customWidth="1"/>
    <col min="36" max="39" width="9.90625" bestFit="1" customWidth="1"/>
    <col min="40" max="40" width="8.90625" bestFit="1" customWidth="1"/>
    <col min="41" max="41" width="9.90625" bestFit="1" customWidth="1"/>
    <col min="42" max="42" width="8.90625" bestFit="1" customWidth="1"/>
    <col min="43" max="47" width="9.90625" bestFit="1" customWidth="1"/>
    <col min="48" max="48" width="8.90625" bestFit="1" customWidth="1"/>
    <col min="49" max="54" width="9.90625" bestFit="1" customWidth="1"/>
    <col min="55" max="55" width="8.90625" bestFit="1" customWidth="1"/>
    <col min="56" max="56" width="9.90625" bestFit="1" customWidth="1"/>
    <col min="57" max="57" width="8.90625" bestFit="1" customWidth="1"/>
    <col min="58" max="60" width="9.90625" bestFit="1" customWidth="1"/>
    <col min="61" max="61" width="8.90625" bestFit="1" customWidth="1"/>
    <col min="62" max="65" width="9.90625" bestFit="1" customWidth="1"/>
    <col min="66" max="67" width="8.90625" bestFit="1" customWidth="1"/>
    <col min="68" max="68" width="9.90625" bestFit="1" customWidth="1"/>
    <col min="69" max="69" width="8.90625" bestFit="1" customWidth="1"/>
    <col min="70" max="71" width="9.90625" bestFit="1" customWidth="1"/>
    <col min="72" max="72" width="8.90625" bestFit="1" customWidth="1"/>
    <col min="73" max="79" width="9.90625" bestFit="1" customWidth="1"/>
    <col min="80" max="80" width="8.90625" bestFit="1" customWidth="1"/>
    <col min="81" max="81" width="9.90625" bestFit="1" customWidth="1"/>
    <col min="82" max="82" width="12.453125" bestFit="1" customWidth="1"/>
  </cols>
  <sheetData>
    <row r="3" spans="1:82" x14ac:dyDescent="0.35">
      <c r="B3" s="24" t="s">
        <v>697</v>
      </c>
    </row>
    <row r="4" spans="1:82" x14ac:dyDescent="0.35">
      <c r="B4">
        <v>650</v>
      </c>
      <c r="C4">
        <v>651</v>
      </c>
      <c r="D4">
        <v>653</v>
      </c>
      <c r="E4">
        <v>658</v>
      </c>
      <c r="F4">
        <v>660</v>
      </c>
      <c r="G4">
        <v>661</v>
      </c>
      <c r="H4">
        <v>664</v>
      </c>
      <c r="I4">
        <v>666</v>
      </c>
      <c r="J4">
        <v>672</v>
      </c>
      <c r="K4">
        <v>678</v>
      </c>
      <c r="L4">
        <v>679</v>
      </c>
      <c r="M4">
        <v>680</v>
      </c>
      <c r="N4">
        <v>687</v>
      </c>
      <c r="O4">
        <v>693</v>
      </c>
      <c r="P4">
        <v>695</v>
      </c>
      <c r="Q4">
        <v>696</v>
      </c>
      <c r="R4">
        <v>698</v>
      </c>
      <c r="S4">
        <v>701</v>
      </c>
      <c r="T4">
        <v>704</v>
      </c>
      <c r="U4">
        <v>706</v>
      </c>
      <c r="V4">
        <v>709</v>
      </c>
      <c r="W4">
        <v>711</v>
      </c>
      <c r="X4">
        <v>713</v>
      </c>
      <c r="Y4">
        <v>714</v>
      </c>
      <c r="Z4">
        <v>717</v>
      </c>
      <c r="AA4">
        <v>718</v>
      </c>
      <c r="AB4">
        <v>720</v>
      </c>
      <c r="AC4">
        <v>721</v>
      </c>
      <c r="AD4">
        <v>725</v>
      </c>
      <c r="AE4">
        <v>727</v>
      </c>
      <c r="AF4">
        <v>729</v>
      </c>
      <c r="AG4">
        <v>731</v>
      </c>
      <c r="AH4">
        <v>732</v>
      </c>
      <c r="AI4">
        <v>734</v>
      </c>
      <c r="AJ4">
        <v>735</v>
      </c>
      <c r="AK4">
        <v>740</v>
      </c>
      <c r="AL4">
        <v>741</v>
      </c>
      <c r="AM4">
        <v>747</v>
      </c>
      <c r="AN4">
        <v>750</v>
      </c>
      <c r="AO4">
        <v>751</v>
      </c>
      <c r="AP4">
        <v>752</v>
      </c>
      <c r="AQ4">
        <v>755</v>
      </c>
      <c r="AR4">
        <v>756</v>
      </c>
      <c r="AS4">
        <v>762</v>
      </c>
      <c r="AT4">
        <v>763</v>
      </c>
      <c r="AU4">
        <v>767</v>
      </c>
      <c r="AV4">
        <v>769</v>
      </c>
      <c r="AW4">
        <v>778</v>
      </c>
      <c r="AX4">
        <v>779</v>
      </c>
      <c r="AY4">
        <v>783</v>
      </c>
      <c r="AZ4">
        <v>787</v>
      </c>
      <c r="BA4">
        <v>791</v>
      </c>
      <c r="BB4">
        <v>799</v>
      </c>
      <c r="BC4">
        <v>808</v>
      </c>
      <c r="BD4">
        <v>809</v>
      </c>
      <c r="BE4">
        <v>812</v>
      </c>
      <c r="BF4">
        <v>814</v>
      </c>
      <c r="BG4">
        <v>816</v>
      </c>
      <c r="BH4">
        <v>821</v>
      </c>
      <c r="BI4">
        <v>822</v>
      </c>
      <c r="BJ4">
        <v>825</v>
      </c>
      <c r="BK4">
        <v>827</v>
      </c>
      <c r="BL4">
        <v>829</v>
      </c>
      <c r="BM4">
        <v>830</v>
      </c>
      <c r="BN4">
        <v>838</v>
      </c>
      <c r="BO4">
        <v>839</v>
      </c>
      <c r="BP4">
        <v>844</v>
      </c>
      <c r="BQ4">
        <v>848</v>
      </c>
      <c r="BR4">
        <v>852</v>
      </c>
      <c r="BS4">
        <v>856</v>
      </c>
      <c r="BT4">
        <v>863</v>
      </c>
      <c r="BU4">
        <v>864</v>
      </c>
      <c r="BV4">
        <v>866</v>
      </c>
      <c r="BW4">
        <v>869</v>
      </c>
      <c r="BX4">
        <v>875</v>
      </c>
      <c r="BY4">
        <v>881</v>
      </c>
      <c r="BZ4">
        <v>883</v>
      </c>
      <c r="CA4">
        <v>890</v>
      </c>
      <c r="CB4">
        <v>892</v>
      </c>
      <c r="CC4">
        <v>895</v>
      </c>
      <c r="CD4" t="s">
        <v>692</v>
      </c>
    </row>
    <row r="5" spans="1:82" x14ac:dyDescent="0.35">
      <c r="A5" t="s">
        <v>696</v>
      </c>
      <c r="B5" s="2">
        <v>545975</v>
      </c>
      <c r="C5" s="2">
        <v>1716581</v>
      </c>
      <c r="D5" s="2">
        <v>1429847</v>
      </c>
      <c r="E5" s="2">
        <v>2084595</v>
      </c>
      <c r="F5" s="2">
        <v>555966</v>
      </c>
      <c r="G5" s="2">
        <v>1096846</v>
      </c>
      <c r="H5" s="2">
        <v>3416915</v>
      </c>
      <c r="I5" s="2">
        <v>1257757</v>
      </c>
      <c r="J5" s="2">
        <v>1537995</v>
      </c>
      <c r="K5" s="2">
        <v>1030189</v>
      </c>
      <c r="L5" s="2">
        <v>7125855</v>
      </c>
      <c r="M5" s="2">
        <v>1474176</v>
      </c>
      <c r="N5" s="2">
        <v>1939186</v>
      </c>
      <c r="O5" s="2">
        <v>2552076</v>
      </c>
      <c r="P5" s="2">
        <v>1205861</v>
      </c>
      <c r="Q5" s="2">
        <v>2910971</v>
      </c>
      <c r="R5" s="2">
        <v>614681</v>
      </c>
      <c r="S5" s="2">
        <v>2789483</v>
      </c>
      <c r="T5" s="2">
        <v>3998801</v>
      </c>
      <c r="U5" s="2">
        <v>2310791</v>
      </c>
      <c r="V5" s="2">
        <v>473273</v>
      </c>
      <c r="W5" s="2">
        <v>477307</v>
      </c>
      <c r="X5" s="2">
        <v>1444426</v>
      </c>
      <c r="Y5" s="2">
        <v>1202920</v>
      </c>
      <c r="Z5" s="2">
        <v>1460051</v>
      </c>
      <c r="AA5" s="2">
        <v>1871397</v>
      </c>
      <c r="AB5" s="2">
        <v>355759</v>
      </c>
      <c r="AC5" s="2">
        <v>1074983</v>
      </c>
      <c r="AD5" s="2">
        <v>7545798</v>
      </c>
      <c r="AE5" s="2">
        <v>3306476</v>
      </c>
      <c r="AF5" s="2">
        <v>5303654</v>
      </c>
      <c r="AG5" s="2">
        <v>1030169</v>
      </c>
      <c r="AH5" s="2">
        <v>557791</v>
      </c>
      <c r="AI5" s="2">
        <v>890649</v>
      </c>
      <c r="AJ5" s="2">
        <v>2718739</v>
      </c>
      <c r="AK5" s="2">
        <v>1054913</v>
      </c>
      <c r="AL5" s="2">
        <v>7180118</v>
      </c>
      <c r="AM5" s="2">
        <v>1361160</v>
      </c>
      <c r="AN5" s="2">
        <v>302120</v>
      </c>
      <c r="AO5" s="2">
        <v>5500420</v>
      </c>
      <c r="AP5" s="2">
        <v>363010</v>
      </c>
      <c r="AQ5" s="2">
        <v>2180325</v>
      </c>
      <c r="AR5" s="2">
        <v>1682261</v>
      </c>
      <c r="AS5" s="2">
        <v>3559660</v>
      </c>
      <c r="AT5" s="2">
        <v>1301959</v>
      </c>
      <c r="AU5" s="2">
        <v>5477923</v>
      </c>
      <c r="AV5" s="2">
        <v>547194</v>
      </c>
      <c r="AW5" s="2">
        <v>3559947</v>
      </c>
      <c r="AX5" s="2">
        <v>1033308</v>
      </c>
      <c r="AY5" s="2">
        <v>1060835</v>
      </c>
      <c r="AZ5" s="2">
        <v>1989867</v>
      </c>
      <c r="BA5" s="2">
        <v>6771474</v>
      </c>
      <c r="BB5" s="2">
        <v>2790369</v>
      </c>
      <c r="BC5" s="2">
        <v>372779</v>
      </c>
      <c r="BD5" s="2">
        <v>1750683</v>
      </c>
      <c r="BE5" s="2">
        <v>618757</v>
      </c>
      <c r="BF5" s="2">
        <v>2160788</v>
      </c>
      <c r="BG5" s="2">
        <v>1705205</v>
      </c>
      <c r="BH5" s="2">
        <v>3496987</v>
      </c>
      <c r="BI5" s="2">
        <v>224436</v>
      </c>
      <c r="BJ5" s="2">
        <v>6603243</v>
      </c>
      <c r="BK5" s="2">
        <v>5031100</v>
      </c>
      <c r="BL5" s="2">
        <v>7507463</v>
      </c>
      <c r="BM5" s="2">
        <v>7190281</v>
      </c>
      <c r="BN5" s="2">
        <v>417548</v>
      </c>
      <c r="BO5" s="2">
        <v>377761</v>
      </c>
      <c r="BP5" s="2">
        <v>2353869</v>
      </c>
      <c r="BQ5" s="2">
        <v>598021</v>
      </c>
      <c r="BR5" s="2">
        <v>1481317</v>
      </c>
      <c r="BS5" s="2">
        <v>4012017</v>
      </c>
      <c r="BT5" s="2">
        <v>645373</v>
      </c>
      <c r="BU5" s="2">
        <v>1601068</v>
      </c>
      <c r="BV5" s="2">
        <v>1028488</v>
      </c>
      <c r="BW5" s="2">
        <v>4561779</v>
      </c>
      <c r="BX5" s="2">
        <v>7873335</v>
      </c>
      <c r="BY5" s="2">
        <v>9408225</v>
      </c>
      <c r="BZ5" s="2">
        <v>2338881</v>
      </c>
      <c r="CA5" s="2">
        <v>3557668</v>
      </c>
      <c r="CB5" s="2">
        <v>214749</v>
      </c>
      <c r="CC5" s="2">
        <v>2159959</v>
      </c>
      <c r="CD5" s="2">
        <v>198316582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3EFC-619B-4D0F-A897-DBAF0D1F9DE7}">
  <dimension ref="A1:J101"/>
  <sheetViews>
    <sheetView showGridLines="0" tabSelected="1" zoomScale="96" zoomScaleNormal="77" workbookViewId="0">
      <selection activeCell="M8" sqref="M8"/>
    </sheetView>
  </sheetViews>
  <sheetFormatPr defaultRowHeight="14.5" x14ac:dyDescent="0.35"/>
  <cols>
    <col min="1" max="1" width="12" customWidth="1"/>
    <col min="2" max="2" width="22" customWidth="1"/>
    <col min="3" max="3" width="20" customWidth="1"/>
    <col min="4" max="4" width="16" customWidth="1"/>
    <col min="5" max="5" width="15" customWidth="1"/>
    <col min="6" max="7" width="18" customWidth="1"/>
    <col min="8" max="9" width="15" customWidth="1"/>
  </cols>
  <sheetData>
    <row r="1" spans="1:10" x14ac:dyDescent="0.35">
      <c r="A1" s="1" t="s">
        <v>263</v>
      </c>
      <c r="B1" s="1" t="s">
        <v>264</v>
      </c>
      <c r="C1" s="1" t="s">
        <v>265</v>
      </c>
      <c r="D1" s="1" t="s">
        <v>266</v>
      </c>
      <c r="E1" s="1" t="s">
        <v>267</v>
      </c>
      <c r="F1" s="1" t="s">
        <v>268</v>
      </c>
      <c r="G1" s="1" t="s">
        <v>269</v>
      </c>
      <c r="H1" s="1" t="s">
        <v>270</v>
      </c>
      <c r="I1" s="1" t="s">
        <v>271</v>
      </c>
      <c r="J1" t="s">
        <v>698</v>
      </c>
    </row>
    <row r="2" spans="1:10" x14ac:dyDescent="0.35">
      <c r="A2" t="s">
        <v>0</v>
      </c>
      <c r="B2" t="s">
        <v>1</v>
      </c>
      <c r="C2" t="s">
        <v>2</v>
      </c>
      <c r="D2" s="2">
        <v>363010</v>
      </c>
      <c r="E2" s="3">
        <v>8.1900000000000001E-2</v>
      </c>
      <c r="F2">
        <v>5</v>
      </c>
      <c r="G2" t="s">
        <v>3</v>
      </c>
      <c r="H2">
        <v>752</v>
      </c>
      <c r="I2" t="s">
        <v>4</v>
      </c>
      <c r="J2">
        <v>752</v>
      </c>
    </row>
    <row r="3" spans="1:10" x14ac:dyDescent="0.35">
      <c r="A3" t="s">
        <v>5</v>
      </c>
      <c r="B3" t="s">
        <v>6</v>
      </c>
      <c r="C3" t="s">
        <v>7</v>
      </c>
      <c r="D3" s="2">
        <v>6771474</v>
      </c>
      <c r="E3" s="3">
        <v>8.9700000000000002E-2</v>
      </c>
      <c r="F3">
        <v>20</v>
      </c>
      <c r="G3" t="s">
        <v>8</v>
      </c>
      <c r="H3">
        <v>791</v>
      </c>
      <c r="I3" t="s">
        <v>9</v>
      </c>
      <c r="J3">
        <v>791</v>
      </c>
    </row>
    <row r="4" spans="1:10" x14ac:dyDescent="0.35">
      <c r="A4" t="s">
        <v>10</v>
      </c>
      <c r="B4" t="s">
        <v>11</v>
      </c>
      <c r="C4" t="s">
        <v>12</v>
      </c>
      <c r="D4" s="2">
        <v>2099031</v>
      </c>
      <c r="E4" s="3">
        <v>0.1047</v>
      </c>
      <c r="F4">
        <v>15</v>
      </c>
      <c r="G4" t="s">
        <v>13</v>
      </c>
      <c r="H4">
        <v>778</v>
      </c>
      <c r="I4" t="s">
        <v>9</v>
      </c>
      <c r="J4">
        <v>778</v>
      </c>
    </row>
    <row r="5" spans="1:10" x14ac:dyDescent="0.35">
      <c r="A5" t="s">
        <v>14</v>
      </c>
      <c r="B5" t="s">
        <v>11</v>
      </c>
      <c r="C5" t="s">
        <v>12</v>
      </c>
      <c r="D5" s="2">
        <v>2338881</v>
      </c>
      <c r="E5" s="3">
        <v>9.35E-2</v>
      </c>
      <c r="F5">
        <v>7</v>
      </c>
      <c r="G5" t="s">
        <v>15</v>
      </c>
      <c r="H5">
        <v>883</v>
      </c>
      <c r="I5" t="s">
        <v>9</v>
      </c>
      <c r="J5">
        <v>883</v>
      </c>
    </row>
    <row r="6" spans="1:10" x14ac:dyDescent="0.35">
      <c r="A6" t="s">
        <v>16</v>
      </c>
      <c r="B6" t="s">
        <v>17</v>
      </c>
      <c r="C6" t="s">
        <v>12</v>
      </c>
      <c r="D6" s="2">
        <v>260586</v>
      </c>
      <c r="E6" s="3">
        <v>8.539999999999999E-2</v>
      </c>
      <c r="F6">
        <v>10</v>
      </c>
      <c r="G6" t="s">
        <v>18</v>
      </c>
      <c r="H6">
        <v>660</v>
      </c>
      <c r="I6" t="s">
        <v>19</v>
      </c>
      <c r="J6">
        <v>660</v>
      </c>
    </row>
    <row r="7" spans="1:10" x14ac:dyDescent="0.35">
      <c r="A7" t="s">
        <v>20</v>
      </c>
      <c r="B7" t="s">
        <v>21</v>
      </c>
      <c r="C7" t="s">
        <v>12</v>
      </c>
      <c r="D7" s="2">
        <v>302120</v>
      </c>
      <c r="E7" s="3">
        <v>9.5399999999999985E-2</v>
      </c>
      <c r="F7">
        <v>7</v>
      </c>
      <c r="G7" t="s">
        <v>22</v>
      </c>
      <c r="H7">
        <v>750</v>
      </c>
      <c r="I7" t="s">
        <v>19</v>
      </c>
      <c r="J7">
        <v>750</v>
      </c>
    </row>
    <row r="8" spans="1:10" x14ac:dyDescent="0.35">
      <c r="A8" t="s">
        <v>23</v>
      </c>
      <c r="B8" t="s">
        <v>24</v>
      </c>
      <c r="C8" t="s">
        <v>25</v>
      </c>
      <c r="D8" s="2">
        <v>1030169</v>
      </c>
      <c r="E8" s="3">
        <v>9.11E-2</v>
      </c>
      <c r="F8">
        <v>5</v>
      </c>
      <c r="G8" t="s">
        <v>26</v>
      </c>
      <c r="H8">
        <v>731</v>
      </c>
      <c r="I8" t="s">
        <v>19</v>
      </c>
      <c r="J8">
        <v>731</v>
      </c>
    </row>
    <row r="9" spans="1:10" x14ac:dyDescent="0.35">
      <c r="A9" t="s">
        <v>27</v>
      </c>
      <c r="B9" t="s">
        <v>28</v>
      </c>
      <c r="C9" t="s">
        <v>25</v>
      </c>
      <c r="D9" s="2">
        <v>1989867</v>
      </c>
      <c r="E9" s="3">
        <v>0.1036</v>
      </c>
      <c r="F9">
        <v>7</v>
      </c>
      <c r="G9" t="s">
        <v>29</v>
      </c>
      <c r="H9">
        <v>787</v>
      </c>
      <c r="I9" t="s">
        <v>19</v>
      </c>
      <c r="J9">
        <v>787</v>
      </c>
    </row>
    <row r="10" spans="1:10" x14ac:dyDescent="0.35">
      <c r="A10" t="s">
        <v>30</v>
      </c>
      <c r="B10" t="s">
        <v>31</v>
      </c>
      <c r="C10" t="s">
        <v>32</v>
      </c>
      <c r="D10" s="2">
        <v>473273</v>
      </c>
      <c r="E10" s="3">
        <v>0.10970000000000001</v>
      </c>
      <c r="F10">
        <v>2</v>
      </c>
      <c r="G10" t="s">
        <v>33</v>
      </c>
      <c r="H10">
        <v>709</v>
      </c>
      <c r="I10" t="s">
        <v>9</v>
      </c>
      <c r="J10">
        <v>709</v>
      </c>
    </row>
    <row r="11" spans="1:10" x14ac:dyDescent="0.35">
      <c r="A11" t="s">
        <v>34</v>
      </c>
      <c r="B11" t="s">
        <v>17</v>
      </c>
      <c r="C11" t="s">
        <v>32</v>
      </c>
      <c r="D11" s="2">
        <v>1537995</v>
      </c>
      <c r="E11" s="3">
        <v>0.13930000000000001</v>
      </c>
      <c r="F11">
        <v>5</v>
      </c>
      <c r="G11" t="s">
        <v>35</v>
      </c>
      <c r="H11">
        <v>672</v>
      </c>
      <c r="I11" t="s">
        <v>9</v>
      </c>
      <c r="J11">
        <v>672</v>
      </c>
    </row>
    <row r="12" spans="1:10" x14ac:dyDescent="0.35">
      <c r="A12" t="s">
        <v>36</v>
      </c>
      <c r="B12" t="s">
        <v>37</v>
      </c>
      <c r="C12" t="s">
        <v>7</v>
      </c>
      <c r="D12" s="2">
        <v>6076359</v>
      </c>
      <c r="E12" s="3">
        <v>9.4200000000000006E-2</v>
      </c>
      <c r="F12">
        <v>30</v>
      </c>
      <c r="G12" t="s">
        <v>38</v>
      </c>
      <c r="H12">
        <v>829</v>
      </c>
      <c r="I12" t="s">
        <v>19</v>
      </c>
      <c r="J12">
        <v>829</v>
      </c>
    </row>
    <row r="13" spans="1:10" x14ac:dyDescent="0.35">
      <c r="A13" t="s">
        <v>39</v>
      </c>
      <c r="B13" t="s">
        <v>40</v>
      </c>
      <c r="C13" t="s">
        <v>25</v>
      </c>
      <c r="D13" s="2">
        <v>2783146</v>
      </c>
      <c r="E13" s="3">
        <v>0.11849999999999999</v>
      </c>
      <c r="F13">
        <v>5</v>
      </c>
      <c r="G13" t="s">
        <v>41</v>
      </c>
      <c r="H13">
        <v>825</v>
      </c>
      <c r="I13" t="s">
        <v>9</v>
      </c>
      <c r="J13">
        <v>825</v>
      </c>
    </row>
    <row r="14" spans="1:10" x14ac:dyDescent="0.35">
      <c r="A14" t="s">
        <v>42</v>
      </c>
      <c r="B14" t="s">
        <v>43</v>
      </c>
      <c r="C14" t="s">
        <v>32</v>
      </c>
      <c r="D14" s="2">
        <v>614681</v>
      </c>
      <c r="E14" s="3">
        <v>0.1202</v>
      </c>
      <c r="F14">
        <v>7</v>
      </c>
      <c r="G14" t="s">
        <v>44</v>
      </c>
      <c r="H14">
        <v>698</v>
      </c>
      <c r="I14" t="s">
        <v>4</v>
      </c>
      <c r="J14">
        <v>698</v>
      </c>
    </row>
    <row r="15" spans="1:10" x14ac:dyDescent="0.35">
      <c r="A15" t="s">
        <v>45</v>
      </c>
      <c r="B15" t="s">
        <v>46</v>
      </c>
      <c r="C15" t="s">
        <v>2</v>
      </c>
      <c r="D15" s="2">
        <v>1205861</v>
      </c>
      <c r="E15" s="3">
        <v>0.10249999999999999</v>
      </c>
      <c r="F15">
        <v>7</v>
      </c>
      <c r="G15" t="s">
        <v>47</v>
      </c>
      <c r="H15">
        <v>695</v>
      </c>
      <c r="I15" t="s">
        <v>4</v>
      </c>
      <c r="J15">
        <v>695</v>
      </c>
    </row>
    <row r="16" spans="1:10" x14ac:dyDescent="0.35">
      <c r="A16" t="s">
        <v>48</v>
      </c>
      <c r="B16" t="s">
        <v>49</v>
      </c>
      <c r="C16" t="s">
        <v>2</v>
      </c>
      <c r="D16" s="2">
        <v>1028488</v>
      </c>
      <c r="E16" s="3">
        <v>0.10199999999999999</v>
      </c>
      <c r="F16">
        <v>7</v>
      </c>
      <c r="G16" t="s">
        <v>50</v>
      </c>
      <c r="H16">
        <v>866</v>
      </c>
      <c r="I16" t="s">
        <v>19</v>
      </c>
      <c r="J16">
        <v>866</v>
      </c>
    </row>
    <row r="17" spans="1:10" x14ac:dyDescent="0.35">
      <c r="A17" t="s">
        <v>51</v>
      </c>
      <c r="B17" t="s">
        <v>52</v>
      </c>
      <c r="C17" t="s">
        <v>12</v>
      </c>
      <c r="D17" s="2">
        <v>2214393</v>
      </c>
      <c r="E17" s="3">
        <v>0.10340000000000001</v>
      </c>
      <c r="F17">
        <v>10</v>
      </c>
      <c r="G17" t="s">
        <v>53</v>
      </c>
      <c r="H17">
        <v>881</v>
      </c>
      <c r="I17" t="s">
        <v>19</v>
      </c>
      <c r="J17">
        <v>881</v>
      </c>
    </row>
    <row r="18" spans="1:10" x14ac:dyDescent="0.35">
      <c r="A18" t="s">
        <v>54</v>
      </c>
      <c r="B18" t="s">
        <v>55</v>
      </c>
      <c r="C18" t="s">
        <v>2</v>
      </c>
      <c r="D18" s="2">
        <v>1060835</v>
      </c>
      <c r="E18" s="3">
        <v>8.9499999999999996E-2</v>
      </c>
      <c r="F18">
        <v>5</v>
      </c>
      <c r="G18" t="s">
        <v>56</v>
      </c>
      <c r="H18">
        <v>783</v>
      </c>
      <c r="I18" t="s">
        <v>9</v>
      </c>
      <c r="J18">
        <v>783</v>
      </c>
    </row>
    <row r="19" spans="1:10" x14ac:dyDescent="0.35">
      <c r="A19" t="s">
        <v>57</v>
      </c>
      <c r="B19" t="s">
        <v>58</v>
      </c>
      <c r="C19" t="s">
        <v>25</v>
      </c>
      <c r="D19" s="2">
        <v>3416915</v>
      </c>
      <c r="E19" s="3">
        <v>0.112</v>
      </c>
      <c r="F19">
        <v>15</v>
      </c>
      <c r="G19" t="s">
        <v>59</v>
      </c>
      <c r="H19">
        <v>664</v>
      </c>
      <c r="I19" t="s">
        <v>4</v>
      </c>
      <c r="J19">
        <v>664</v>
      </c>
    </row>
    <row r="20" spans="1:10" x14ac:dyDescent="0.35">
      <c r="A20" t="s">
        <v>60</v>
      </c>
      <c r="B20" t="s">
        <v>61</v>
      </c>
      <c r="C20" t="s">
        <v>32</v>
      </c>
      <c r="D20" s="2">
        <v>1750683</v>
      </c>
      <c r="E20" s="3">
        <v>0.1275</v>
      </c>
      <c r="F20">
        <v>7</v>
      </c>
      <c r="G20" t="s">
        <v>62</v>
      </c>
      <c r="H20">
        <v>809</v>
      </c>
      <c r="I20" t="s">
        <v>9</v>
      </c>
      <c r="J20">
        <v>809</v>
      </c>
    </row>
    <row r="21" spans="1:10" x14ac:dyDescent="0.35">
      <c r="A21" t="s">
        <v>63</v>
      </c>
      <c r="B21" t="s">
        <v>64</v>
      </c>
      <c r="C21" t="s">
        <v>12</v>
      </c>
      <c r="D21" s="2">
        <v>1824555</v>
      </c>
      <c r="E21" s="3">
        <v>8.6199999999999999E-2</v>
      </c>
      <c r="F21">
        <v>7</v>
      </c>
      <c r="G21" t="s">
        <v>65</v>
      </c>
      <c r="H21">
        <v>679</v>
      </c>
      <c r="I21" t="s">
        <v>9</v>
      </c>
      <c r="J21">
        <v>679</v>
      </c>
    </row>
    <row r="22" spans="1:10" x14ac:dyDescent="0.35">
      <c r="A22" t="s">
        <v>66</v>
      </c>
      <c r="B22" t="s">
        <v>46</v>
      </c>
      <c r="C22" t="s">
        <v>2</v>
      </c>
      <c r="D22" s="2">
        <v>1481317</v>
      </c>
      <c r="E22" s="3">
        <v>9.01E-2</v>
      </c>
      <c r="F22">
        <v>5</v>
      </c>
      <c r="G22" t="s">
        <v>67</v>
      </c>
      <c r="H22">
        <v>852</v>
      </c>
      <c r="I22" t="s">
        <v>4</v>
      </c>
      <c r="J22">
        <v>852</v>
      </c>
    </row>
    <row r="23" spans="1:10" x14ac:dyDescent="0.35">
      <c r="A23" t="s">
        <v>68</v>
      </c>
      <c r="B23" t="s">
        <v>69</v>
      </c>
      <c r="C23" t="s">
        <v>7</v>
      </c>
      <c r="D23" s="2">
        <v>5800557</v>
      </c>
      <c r="E23" s="3">
        <v>7.8E-2</v>
      </c>
      <c r="F23">
        <v>10</v>
      </c>
      <c r="G23" t="s">
        <v>70</v>
      </c>
      <c r="H23">
        <v>875</v>
      </c>
      <c r="I23" t="s">
        <v>19</v>
      </c>
      <c r="J23">
        <v>875</v>
      </c>
    </row>
    <row r="24" spans="1:10" x14ac:dyDescent="0.35">
      <c r="A24" t="s">
        <v>71</v>
      </c>
      <c r="B24" t="s">
        <v>61</v>
      </c>
      <c r="C24" t="s">
        <v>25</v>
      </c>
      <c r="D24" s="2">
        <v>3998801</v>
      </c>
      <c r="E24" s="3">
        <v>0.12709999999999999</v>
      </c>
      <c r="F24">
        <v>12</v>
      </c>
      <c r="G24" t="s">
        <v>72</v>
      </c>
      <c r="H24">
        <v>704</v>
      </c>
      <c r="I24" t="s">
        <v>4</v>
      </c>
      <c r="J24">
        <v>704</v>
      </c>
    </row>
    <row r="25" spans="1:10" x14ac:dyDescent="0.35">
      <c r="A25" t="s">
        <v>73</v>
      </c>
      <c r="B25" t="s">
        <v>74</v>
      </c>
      <c r="C25" t="s">
        <v>2</v>
      </c>
      <c r="D25" s="2">
        <v>1100662</v>
      </c>
      <c r="E25" s="3">
        <v>0.1106</v>
      </c>
      <c r="F25">
        <v>7</v>
      </c>
      <c r="G25" t="s">
        <v>75</v>
      </c>
      <c r="H25">
        <v>799</v>
      </c>
      <c r="I25" t="s">
        <v>9</v>
      </c>
      <c r="J25">
        <v>799</v>
      </c>
    </row>
    <row r="26" spans="1:10" x14ac:dyDescent="0.35">
      <c r="A26" t="s">
        <v>76</v>
      </c>
      <c r="B26" t="s">
        <v>77</v>
      </c>
      <c r="C26" t="s">
        <v>12</v>
      </c>
      <c r="D26" s="2">
        <v>557791</v>
      </c>
      <c r="E26" s="3">
        <v>8.6999999999999994E-2</v>
      </c>
      <c r="F26">
        <v>7</v>
      </c>
      <c r="G26" t="s">
        <v>78</v>
      </c>
      <c r="H26">
        <v>732</v>
      </c>
      <c r="I26" t="s">
        <v>4</v>
      </c>
      <c r="J26">
        <v>732</v>
      </c>
    </row>
    <row r="27" spans="1:10" x14ac:dyDescent="0.35">
      <c r="A27" t="s">
        <v>79</v>
      </c>
      <c r="B27" t="s">
        <v>80</v>
      </c>
      <c r="C27" t="s">
        <v>12</v>
      </c>
      <c r="D27" s="2">
        <v>2353869</v>
      </c>
      <c r="E27" s="3">
        <v>9.0500000000000011E-2</v>
      </c>
      <c r="F27">
        <v>10</v>
      </c>
      <c r="G27" t="s">
        <v>81</v>
      </c>
      <c r="H27">
        <v>844</v>
      </c>
      <c r="I27" t="s">
        <v>4</v>
      </c>
      <c r="J27">
        <v>844</v>
      </c>
    </row>
    <row r="28" spans="1:10" x14ac:dyDescent="0.35">
      <c r="A28" t="s">
        <v>82</v>
      </c>
      <c r="B28" t="s">
        <v>83</v>
      </c>
      <c r="C28" t="s">
        <v>12</v>
      </c>
      <c r="D28" s="2">
        <v>214749</v>
      </c>
      <c r="E28" s="3">
        <v>9.0999999999999998E-2</v>
      </c>
      <c r="F28">
        <v>7</v>
      </c>
      <c r="G28" t="s">
        <v>84</v>
      </c>
      <c r="H28">
        <v>892</v>
      </c>
      <c r="I28" t="s">
        <v>4</v>
      </c>
      <c r="J28">
        <v>892</v>
      </c>
    </row>
    <row r="29" spans="1:10" x14ac:dyDescent="0.35">
      <c r="A29" t="s">
        <v>85</v>
      </c>
      <c r="B29" t="s">
        <v>86</v>
      </c>
      <c r="C29" t="s">
        <v>12</v>
      </c>
      <c r="D29" s="2">
        <v>2229928</v>
      </c>
      <c r="E29" s="3">
        <v>9.1300000000000006E-2</v>
      </c>
      <c r="F29">
        <v>10</v>
      </c>
      <c r="G29" t="s">
        <v>87</v>
      </c>
      <c r="H29">
        <v>729</v>
      </c>
      <c r="I29" t="s">
        <v>9</v>
      </c>
      <c r="J29">
        <v>729</v>
      </c>
    </row>
    <row r="30" spans="1:10" x14ac:dyDescent="0.35">
      <c r="A30" t="s">
        <v>88</v>
      </c>
      <c r="B30" t="s">
        <v>89</v>
      </c>
      <c r="C30" t="s">
        <v>7</v>
      </c>
      <c r="D30" s="2">
        <v>5060742</v>
      </c>
      <c r="E30" s="3">
        <v>8.1300000000000011E-2</v>
      </c>
      <c r="F30">
        <v>10</v>
      </c>
      <c r="G30" t="s">
        <v>90</v>
      </c>
      <c r="H30">
        <v>679</v>
      </c>
      <c r="I30" t="s">
        <v>4</v>
      </c>
      <c r="J30">
        <v>679</v>
      </c>
    </row>
    <row r="31" spans="1:10" x14ac:dyDescent="0.35">
      <c r="A31" t="s">
        <v>91</v>
      </c>
      <c r="B31" t="s">
        <v>92</v>
      </c>
      <c r="C31" t="s">
        <v>12</v>
      </c>
      <c r="D31" s="2">
        <v>2072778</v>
      </c>
      <c r="E31" s="3">
        <v>7.9600000000000004E-2</v>
      </c>
      <c r="F31">
        <v>15</v>
      </c>
      <c r="G31" t="s">
        <v>93</v>
      </c>
      <c r="H31">
        <v>875</v>
      </c>
      <c r="I31" t="s">
        <v>19</v>
      </c>
      <c r="J31">
        <v>875</v>
      </c>
    </row>
    <row r="32" spans="1:10" x14ac:dyDescent="0.35">
      <c r="A32" t="s">
        <v>94</v>
      </c>
      <c r="B32" t="s">
        <v>95</v>
      </c>
      <c r="C32" t="s">
        <v>25</v>
      </c>
      <c r="D32" s="2">
        <v>3496987</v>
      </c>
      <c r="E32" s="3">
        <v>0.1278</v>
      </c>
      <c r="F32">
        <v>10</v>
      </c>
      <c r="G32" t="s">
        <v>96</v>
      </c>
      <c r="H32">
        <v>821</v>
      </c>
      <c r="I32" t="s">
        <v>4</v>
      </c>
      <c r="J32">
        <v>821</v>
      </c>
    </row>
    <row r="33" spans="1:10" x14ac:dyDescent="0.35">
      <c r="A33" t="s">
        <v>97</v>
      </c>
      <c r="B33" t="s">
        <v>28</v>
      </c>
      <c r="C33" t="s">
        <v>32</v>
      </c>
      <c r="D33" s="2">
        <v>372779</v>
      </c>
      <c r="E33" s="3">
        <v>0.11990000000000001</v>
      </c>
      <c r="F33">
        <v>5</v>
      </c>
      <c r="G33" t="s">
        <v>98</v>
      </c>
      <c r="H33">
        <v>808</v>
      </c>
      <c r="I33" t="s">
        <v>9</v>
      </c>
      <c r="J33">
        <v>808</v>
      </c>
    </row>
    <row r="34" spans="1:10" x14ac:dyDescent="0.35">
      <c r="A34" t="s">
        <v>99</v>
      </c>
      <c r="B34" t="s">
        <v>100</v>
      </c>
      <c r="C34" t="s">
        <v>32</v>
      </c>
      <c r="D34" s="2">
        <v>1939186</v>
      </c>
      <c r="E34" s="3">
        <v>0.12859999999999999</v>
      </c>
      <c r="F34">
        <v>2</v>
      </c>
      <c r="G34" t="s">
        <v>101</v>
      </c>
      <c r="H34">
        <v>687</v>
      </c>
      <c r="I34" t="s">
        <v>19</v>
      </c>
      <c r="J34">
        <v>687</v>
      </c>
    </row>
    <row r="35" spans="1:10" x14ac:dyDescent="0.35">
      <c r="A35" t="s">
        <v>102</v>
      </c>
      <c r="B35" t="s">
        <v>103</v>
      </c>
      <c r="C35" t="s">
        <v>2</v>
      </c>
      <c r="D35" s="2">
        <v>574304</v>
      </c>
      <c r="E35" s="3">
        <v>0.1012</v>
      </c>
      <c r="F35">
        <v>7</v>
      </c>
      <c r="G35" t="s">
        <v>104</v>
      </c>
      <c r="H35">
        <v>706</v>
      </c>
      <c r="I35" t="s">
        <v>19</v>
      </c>
      <c r="J35">
        <v>706</v>
      </c>
    </row>
    <row r="36" spans="1:10" x14ac:dyDescent="0.35">
      <c r="A36" t="s">
        <v>105</v>
      </c>
      <c r="B36" t="s">
        <v>106</v>
      </c>
      <c r="C36" t="s">
        <v>25</v>
      </c>
      <c r="D36" s="2">
        <v>1030189</v>
      </c>
      <c r="E36" s="3">
        <v>9.4399999999999998E-2</v>
      </c>
      <c r="F36">
        <v>15</v>
      </c>
      <c r="G36" t="s">
        <v>107</v>
      </c>
      <c r="H36">
        <v>678</v>
      </c>
      <c r="I36" t="s">
        <v>4</v>
      </c>
      <c r="J36">
        <v>678</v>
      </c>
    </row>
    <row r="37" spans="1:10" x14ac:dyDescent="0.35">
      <c r="A37" t="s">
        <v>108</v>
      </c>
      <c r="B37" t="s">
        <v>100</v>
      </c>
      <c r="C37" t="s">
        <v>32</v>
      </c>
      <c r="D37" s="2">
        <v>1054913</v>
      </c>
      <c r="E37" s="3">
        <v>0.1017</v>
      </c>
      <c r="F37">
        <v>3</v>
      </c>
      <c r="G37" t="s">
        <v>109</v>
      </c>
      <c r="H37">
        <v>740</v>
      </c>
      <c r="I37" t="s">
        <v>9</v>
      </c>
      <c r="J37">
        <v>740</v>
      </c>
    </row>
    <row r="38" spans="1:10" x14ac:dyDescent="0.35">
      <c r="A38" t="s">
        <v>110</v>
      </c>
      <c r="B38" t="s">
        <v>17</v>
      </c>
      <c r="C38" t="s">
        <v>2</v>
      </c>
      <c r="D38" s="2">
        <v>645373</v>
      </c>
      <c r="E38" s="3">
        <v>9.0399999999999994E-2</v>
      </c>
      <c r="F38">
        <v>7</v>
      </c>
      <c r="G38" t="s">
        <v>111</v>
      </c>
      <c r="H38">
        <v>863</v>
      </c>
      <c r="I38" t="s">
        <v>19</v>
      </c>
      <c r="J38">
        <v>863</v>
      </c>
    </row>
    <row r="39" spans="1:10" x14ac:dyDescent="0.35">
      <c r="A39" t="s">
        <v>112</v>
      </c>
      <c r="B39" t="s">
        <v>37</v>
      </c>
      <c r="C39" t="s">
        <v>2</v>
      </c>
      <c r="D39" s="2">
        <v>990118</v>
      </c>
      <c r="E39" s="3">
        <v>0.113</v>
      </c>
      <c r="F39">
        <v>7</v>
      </c>
      <c r="G39" t="s">
        <v>113</v>
      </c>
      <c r="H39">
        <v>756</v>
      </c>
      <c r="I39" t="s">
        <v>19</v>
      </c>
      <c r="J39">
        <v>756</v>
      </c>
    </row>
    <row r="40" spans="1:10" x14ac:dyDescent="0.35">
      <c r="A40" t="s">
        <v>114</v>
      </c>
      <c r="B40" t="s">
        <v>115</v>
      </c>
      <c r="C40" t="s">
        <v>32</v>
      </c>
      <c r="D40" s="2">
        <v>1705205</v>
      </c>
      <c r="E40" s="3">
        <v>0.13009999999999999</v>
      </c>
      <c r="F40">
        <v>3</v>
      </c>
      <c r="G40" t="s">
        <v>116</v>
      </c>
      <c r="H40">
        <v>816</v>
      </c>
      <c r="I40" t="s">
        <v>9</v>
      </c>
      <c r="J40">
        <v>816</v>
      </c>
    </row>
    <row r="41" spans="1:10" x14ac:dyDescent="0.35">
      <c r="A41" t="s">
        <v>117</v>
      </c>
      <c r="B41" t="s">
        <v>118</v>
      </c>
      <c r="C41" t="s">
        <v>32</v>
      </c>
      <c r="D41" s="2">
        <v>1422626</v>
      </c>
      <c r="E41" s="3">
        <v>0.106</v>
      </c>
      <c r="F41">
        <v>5</v>
      </c>
      <c r="G41" t="s">
        <v>119</v>
      </c>
      <c r="H41">
        <v>727</v>
      </c>
      <c r="I41" t="s">
        <v>19</v>
      </c>
      <c r="J41">
        <v>727</v>
      </c>
    </row>
    <row r="42" spans="1:10" x14ac:dyDescent="0.35">
      <c r="A42" t="s">
        <v>120</v>
      </c>
      <c r="B42" t="s">
        <v>121</v>
      </c>
      <c r="C42" t="s">
        <v>25</v>
      </c>
      <c r="D42" s="2">
        <v>1716581</v>
      </c>
      <c r="E42" s="3">
        <v>9.5600000000000004E-2</v>
      </c>
      <c r="F42">
        <v>12</v>
      </c>
      <c r="G42" t="s">
        <v>122</v>
      </c>
      <c r="H42">
        <v>651</v>
      </c>
      <c r="I42" t="s">
        <v>19</v>
      </c>
      <c r="J42">
        <v>651</v>
      </c>
    </row>
    <row r="43" spans="1:10" x14ac:dyDescent="0.35">
      <c r="A43" t="s">
        <v>123</v>
      </c>
      <c r="B43" t="s">
        <v>80</v>
      </c>
      <c r="C43" t="s">
        <v>7</v>
      </c>
      <c r="D43" s="2">
        <v>7193832</v>
      </c>
      <c r="E43" s="3">
        <v>8.8599999999999998E-2</v>
      </c>
      <c r="F43">
        <v>25</v>
      </c>
      <c r="G43" t="s">
        <v>124</v>
      </c>
      <c r="H43">
        <v>881</v>
      </c>
      <c r="I43" t="s">
        <v>19</v>
      </c>
      <c r="J43">
        <v>881</v>
      </c>
    </row>
    <row r="44" spans="1:10" x14ac:dyDescent="0.35">
      <c r="A44" t="s">
        <v>125</v>
      </c>
      <c r="B44" t="s">
        <v>6</v>
      </c>
      <c r="C44" t="s">
        <v>32</v>
      </c>
      <c r="D44" s="2">
        <v>1891829</v>
      </c>
      <c r="E44" s="3">
        <v>0.1192</v>
      </c>
      <c r="F44">
        <v>3</v>
      </c>
      <c r="G44" t="s">
        <v>126</v>
      </c>
      <c r="H44">
        <v>693</v>
      </c>
      <c r="I44" t="s">
        <v>19</v>
      </c>
      <c r="J44">
        <v>693</v>
      </c>
    </row>
    <row r="45" spans="1:10" x14ac:dyDescent="0.35">
      <c r="A45" t="s">
        <v>127</v>
      </c>
      <c r="B45" t="s">
        <v>11</v>
      </c>
      <c r="C45" t="s">
        <v>12</v>
      </c>
      <c r="D45" s="2">
        <v>692143</v>
      </c>
      <c r="E45" s="3">
        <v>8.8399999999999992E-2</v>
      </c>
      <c r="F45">
        <v>5</v>
      </c>
      <c r="G45" t="s">
        <v>128</v>
      </c>
      <c r="H45">
        <v>756</v>
      </c>
      <c r="I45" t="s">
        <v>4</v>
      </c>
      <c r="J45">
        <v>756</v>
      </c>
    </row>
    <row r="46" spans="1:10" x14ac:dyDescent="0.35">
      <c r="A46" t="s">
        <v>129</v>
      </c>
      <c r="B46" t="s">
        <v>130</v>
      </c>
      <c r="C46" t="s">
        <v>32</v>
      </c>
      <c r="D46" s="2">
        <v>1364788</v>
      </c>
      <c r="E46" s="3">
        <v>0.15140000000000001</v>
      </c>
      <c r="F46">
        <v>5</v>
      </c>
      <c r="G46" t="s">
        <v>131</v>
      </c>
      <c r="H46">
        <v>735</v>
      </c>
      <c r="I46" t="s">
        <v>9</v>
      </c>
      <c r="J46">
        <v>735</v>
      </c>
    </row>
    <row r="47" spans="1:10" x14ac:dyDescent="0.35">
      <c r="A47" t="s">
        <v>132</v>
      </c>
      <c r="B47" t="s">
        <v>130</v>
      </c>
      <c r="C47" t="s">
        <v>12</v>
      </c>
      <c r="D47" s="2">
        <v>1257757</v>
      </c>
      <c r="E47" s="3">
        <v>9.5899999999999999E-2</v>
      </c>
      <c r="F47">
        <v>10</v>
      </c>
      <c r="G47" t="s">
        <v>133</v>
      </c>
      <c r="H47">
        <v>666</v>
      </c>
      <c r="I47" t="s">
        <v>9</v>
      </c>
      <c r="J47">
        <v>666</v>
      </c>
    </row>
    <row r="48" spans="1:10" x14ac:dyDescent="0.35">
      <c r="A48" t="s">
        <v>134</v>
      </c>
      <c r="B48" t="s">
        <v>135</v>
      </c>
      <c r="C48" t="s">
        <v>32</v>
      </c>
      <c r="D48" s="2">
        <v>1871397</v>
      </c>
      <c r="E48" s="3">
        <v>0.1104</v>
      </c>
      <c r="F48">
        <v>7</v>
      </c>
      <c r="G48" t="s">
        <v>136</v>
      </c>
      <c r="H48">
        <v>718</v>
      </c>
      <c r="I48" t="s">
        <v>4</v>
      </c>
      <c r="J48">
        <v>718</v>
      </c>
    </row>
    <row r="49" spans="1:10" x14ac:dyDescent="0.35">
      <c r="A49" t="s">
        <v>137</v>
      </c>
      <c r="B49" t="s">
        <v>138</v>
      </c>
      <c r="C49" t="s">
        <v>2</v>
      </c>
      <c r="D49" s="2">
        <v>1353951</v>
      </c>
      <c r="E49" s="3">
        <v>8.4700000000000011E-2</v>
      </c>
      <c r="F49">
        <v>5</v>
      </c>
      <c r="G49" t="s">
        <v>139</v>
      </c>
      <c r="H49">
        <v>735</v>
      </c>
      <c r="I49" t="s">
        <v>9</v>
      </c>
      <c r="J49">
        <v>735</v>
      </c>
    </row>
    <row r="50" spans="1:10" x14ac:dyDescent="0.35">
      <c r="A50" t="s">
        <v>140</v>
      </c>
      <c r="B50" t="s">
        <v>141</v>
      </c>
      <c r="C50" t="s">
        <v>32</v>
      </c>
      <c r="D50" s="2">
        <v>279435</v>
      </c>
      <c r="E50" s="3">
        <v>0.1517</v>
      </c>
      <c r="F50">
        <v>7</v>
      </c>
      <c r="G50" t="s">
        <v>142</v>
      </c>
      <c r="H50">
        <v>696</v>
      </c>
      <c r="I50" t="s">
        <v>4</v>
      </c>
      <c r="J50">
        <v>696</v>
      </c>
    </row>
    <row r="51" spans="1:10" x14ac:dyDescent="0.35">
      <c r="A51" t="s">
        <v>143</v>
      </c>
      <c r="B51" t="s">
        <v>144</v>
      </c>
      <c r="C51" t="s">
        <v>25</v>
      </c>
      <c r="D51" s="2">
        <v>2789483</v>
      </c>
      <c r="E51" s="3">
        <v>9.1199999999999989E-2</v>
      </c>
      <c r="F51">
        <v>5</v>
      </c>
      <c r="G51" t="s">
        <v>145</v>
      </c>
      <c r="H51">
        <v>701</v>
      </c>
      <c r="I51" t="s">
        <v>9</v>
      </c>
      <c r="J51">
        <v>701</v>
      </c>
    </row>
    <row r="52" spans="1:10" x14ac:dyDescent="0.35">
      <c r="A52" t="s">
        <v>146</v>
      </c>
      <c r="B52" t="s">
        <v>147</v>
      </c>
      <c r="C52" t="s">
        <v>2</v>
      </c>
      <c r="D52" s="2">
        <v>598021</v>
      </c>
      <c r="E52" s="3">
        <v>0.10539999999999999</v>
      </c>
      <c r="F52">
        <v>5</v>
      </c>
      <c r="G52" t="s">
        <v>148</v>
      </c>
      <c r="H52">
        <v>848</v>
      </c>
      <c r="I52" t="s">
        <v>9</v>
      </c>
      <c r="J52">
        <v>848</v>
      </c>
    </row>
    <row r="53" spans="1:10" x14ac:dyDescent="0.35">
      <c r="A53" t="s">
        <v>149</v>
      </c>
      <c r="B53" t="s">
        <v>80</v>
      </c>
      <c r="C53" t="s">
        <v>12</v>
      </c>
      <c r="D53" s="2">
        <v>660247</v>
      </c>
      <c r="E53" s="3">
        <v>8.3699999999999997E-2</v>
      </c>
      <c r="F53">
        <v>5</v>
      </c>
      <c r="G53" t="s">
        <v>150</v>
      </c>
      <c r="H53">
        <v>693</v>
      </c>
      <c r="I53" t="s">
        <v>4</v>
      </c>
      <c r="J53">
        <v>693</v>
      </c>
    </row>
    <row r="54" spans="1:10" x14ac:dyDescent="0.35">
      <c r="A54" t="s">
        <v>151</v>
      </c>
      <c r="B54" t="s">
        <v>49</v>
      </c>
      <c r="C54" t="s">
        <v>25</v>
      </c>
      <c r="D54" s="2">
        <v>3820097</v>
      </c>
      <c r="E54" s="3">
        <v>0.1167</v>
      </c>
      <c r="F54">
        <v>12</v>
      </c>
      <c r="G54" t="s">
        <v>152</v>
      </c>
      <c r="H54">
        <v>825</v>
      </c>
      <c r="I54" t="s">
        <v>4</v>
      </c>
      <c r="J54">
        <v>825</v>
      </c>
    </row>
    <row r="55" spans="1:10" x14ac:dyDescent="0.35">
      <c r="A55" t="s">
        <v>153</v>
      </c>
      <c r="B55" t="s">
        <v>106</v>
      </c>
      <c r="C55" t="s">
        <v>25</v>
      </c>
      <c r="D55" s="2">
        <v>1474176</v>
      </c>
      <c r="E55" s="3">
        <v>0.13389999999999999</v>
      </c>
      <c r="F55">
        <v>10</v>
      </c>
      <c r="G55" t="s">
        <v>154</v>
      </c>
      <c r="H55">
        <v>680</v>
      </c>
      <c r="I55" t="s">
        <v>9</v>
      </c>
      <c r="J55">
        <v>680</v>
      </c>
    </row>
    <row r="56" spans="1:10" x14ac:dyDescent="0.35">
      <c r="A56" t="s">
        <v>155</v>
      </c>
      <c r="B56" t="s">
        <v>156</v>
      </c>
      <c r="C56" t="s">
        <v>7</v>
      </c>
      <c r="D56" s="2">
        <v>4561779</v>
      </c>
      <c r="E56" s="3">
        <v>8.7799999999999989E-2</v>
      </c>
      <c r="F56">
        <v>25</v>
      </c>
      <c r="G56" t="s">
        <v>157</v>
      </c>
      <c r="H56">
        <v>869</v>
      </c>
      <c r="I56" t="s">
        <v>4</v>
      </c>
      <c r="J56">
        <v>869</v>
      </c>
    </row>
    <row r="57" spans="1:10" x14ac:dyDescent="0.35">
      <c r="A57" t="s">
        <v>158</v>
      </c>
      <c r="B57" t="s">
        <v>159</v>
      </c>
      <c r="C57" t="s">
        <v>32</v>
      </c>
      <c r="D57" s="2">
        <v>566437</v>
      </c>
      <c r="E57" s="3">
        <v>0.1535</v>
      </c>
      <c r="F57">
        <v>7</v>
      </c>
      <c r="G57" t="s">
        <v>160</v>
      </c>
      <c r="H57">
        <v>751</v>
      </c>
      <c r="I57" t="s">
        <v>4</v>
      </c>
      <c r="J57">
        <v>751</v>
      </c>
    </row>
    <row r="58" spans="1:10" x14ac:dyDescent="0.35">
      <c r="A58" t="s">
        <v>161</v>
      </c>
      <c r="B58" t="s">
        <v>162</v>
      </c>
      <c r="C58" t="s">
        <v>12</v>
      </c>
      <c r="D58" s="2">
        <v>1460051</v>
      </c>
      <c r="E58" s="3">
        <v>0.1045</v>
      </c>
      <c r="F58">
        <v>7</v>
      </c>
      <c r="G58" t="s">
        <v>13</v>
      </c>
      <c r="H58">
        <v>717</v>
      </c>
      <c r="I58" t="s">
        <v>4</v>
      </c>
      <c r="J58">
        <v>717</v>
      </c>
    </row>
    <row r="59" spans="1:10" x14ac:dyDescent="0.35">
      <c r="A59" t="s">
        <v>163</v>
      </c>
      <c r="B59" t="s">
        <v>130</v>
      </c>
      <c r="C59" t="s">
        <v>2</v>
      </c>
      <c r="D59" s="2">
        <v>1096846</v>
      </c>
      <c r="E59" s="3">
        <v>0.1009</v>
      </c>
      <c r="F59">
        <v>3</v>
      </c>
      <c r="G59" t="s">
        <v>164</v>
      </c>
      <c r="H59">
        <v>661</v>
      </c>
      <c r="I59" t="s">
        <v>19</v>
      </c>
      <c r="J59">
        <v>661</v>
      </c>
    </row>
    <row r="60" spans="1:10" x14ac:dyDescent="0.35">
      <c r="A60" t="s">
        <v>165</v>
      </c>
      <c r="B60" t="s">
        <v>55</v>
      </c>
      <c r="C60" t="s">
        <v>32</v>
      </c>
      <c r="D60" s="2">
        <v>1689707</v>
      </c>
      <c r="E60" s="3">
        <v>0.1593</v>
      </c>
      <c r="F60">
        <v>7</v>
      </c>
      <c r="G60" t="s">
        <v>166</v>
      </c>
      <c r="H60">
        <v>799</v>
      </c>
      <c r="I60" t="s">
        <v>19</v>
      </c>
      <c r="J60">
        <v>799</v>
      </c>
    </row>
    <row r="61" spans="1:10" x14ac:dyDescent="0.35">
      <c r="A61" t="s">
        <v>167</v>
      </c>
      <c r="B61" t="s">
        <v>168</v>
      </c>
      <c r="C61" t="s">
        <v>32</v>
      </c>
      <c r="D61" s="2">
        <v>1197077</v>
      </c>
      <c r="E61" s="3">
        <v>0.1144</v>
      </c>
      <c r="F61">
        <v>7</v>
      </c>
      <c r="G61" t="s">
        <v>169</v>
      </c>
      <c r="H61">
        <v>762</v>
      </c>
      <c r="I61" t="s">
        <v>9</v>
      </c>
      <c r="J61">
        <v>762</v>
      </c>
    </row>
    <row r="62" spans="1:10" x14ac:dyDescent="0.35">
      <c r="A62" t="s">
        <v>170</v>
      </c>
      <c r="B62" t="s">
        <v>171</v>
      </c>
      <c r="C62" t="s">
        <v>32</v>
      </c>
      <c r="D62" s="2">
        <v>1601068</v>
      </c>
      <c r="E62" s="3">
        <v>0.1085</v>
      </c>
      <c r="F62">
        <v>3</v>
      </c>
      <c r="G62" t="s">
        <v>172</v>
      </c>
      <c r="H62">
        <v>864</v>
      </c>
      <c r="I62" t="s">
        <v>9</v>
      </c>
      <c r="J62">
        <v>864</v>
      </c>
    </row>
    <row r="63" spans="1:10" x14ac:dyDescent="0.35">
      <c r="A63" t="s">
        <v>173</v>
      </c>
      <c r="B63" t="s">
        <v>174</v>
      </c>
      <c r="C63" t="s">
        <v>12</v>
      </c>
      <c r="D63" s="2">
        <v>295380</v>
      </c>
      <c r="E63" s="3">
        <v>9.3900000000000011E-2</v>
      </c>
      <c r="F63">
        <v>15</v>
      </c>
      <c r="G63" t="s">
        <v>175</v>
      </c>
      <c r="H63">
        <v>660</v>
      </c>
      <c r="I63" t="s">
        <v>9</v>
      </c>
      <c r="J63">
        <v>660</v>
      </c>
    </row>
    <row r="64" spans="1:10" x14ac:dyDescent="0.35">
      <c r="A64" t="s">
        <v>176</v>
      </c>
      <c r="B64" t="s">
        <v>177</v>
      </c>
      <c r="C64" t="s">
        <v>7</v>
      </c>
      <c r="D64" s="2">
        <v>3557668</v>
      </c>
      <c r="E64" s="3">
        <v>8.4700000000000011E-2</v>
      </c>
      <c r="F64">
        <v>30</v>
      </c>
      <c r="G64" t="s">
        <v>178</v>
      </c>
      <c r="H64">
        <v>890</v>
      </c>
      <c r="I64" t="s">
        <v>19</v>
      </c>
      <c r="J64">
        <v>890</v>
      </c>
    </row>
    <row r="65" spans="1:10" x14ac:dyDescent="0.35">
      <c r="A65" t="s">
        <v>179</v>
      </c>
      <c r="B65" t="s">
        <v>180</v>
      </c>
      <c r="C65" t="s">
        <v>25</v>
      </c>
      <c r="D65" s="2">
        <v>2362583</v>
      </c>
      <c r="E65" s="3">
        <v>0.122</v>
      </c>
      <c r="F65">
        <v>15</v>
      </c>
      <c r="G65" t="s">
        <v>139</v>
      </c>
      <c r="H65">
        <v>762</v>
      </c>
      <c r="I65" t="s">
        <v>4</v>
      </c>
      <c r="J65">
        <v>762</v>
      </c>
    </row>
    <row r="66" spans="1:10" x14ac:dyDescent="0.35">
      <c r="A66" t="s">
        <v>181</v>
      </c>
      <c r="B66" t="s">
        <v>182</v>
      </c>
      <c r="C66" t="s">
        <v>12</v>
      </c>
      <c r="D66" s="2">
        <v>1429847</v>
      </c>
      <c r="E66" s="3">
        <v>8.5999999999999993E-2</v>
      </c>
      <c r="F66">
        <v>7</v>
      </c>
      <c r="G66" t="s">
        <v>183</v>
      </c>
      <c r="H66">
        <v>653</v>
      </c>
      <c r="I66" t="s">
        <v>19</v>
      </c>
      <c r="J66">
        <v>653</v>
      </c>
    </row>
    <row r="67" spans="1:10" x14ac:dyDescent="0.35">
      <c r="A67" t="s">
        <v>184</v>
      </c>
      <c r="B67" t="s">
        <v>185</v>
      </c>
      <c r="C67" t="s">
        <v>2</v>
      </c>
      <c r="D67" s="2">
        <v>1444426</v>
      </c>
      <c r="E67" s="3">
        <v>9.0700000000000003E-2</v>
      </c>
      <c r="F67">
        <v>3</v>
      </c>
      <c r="G67" t="s">
        <v>186</v>
      </c>
      <c r="H67">
        <v>713</v>
      </c>
      <c r="I67" t="s">
        <v>4</v>
      </c>
      <c r="J67">
        <v>713</v>
      </c>
    </row>
    <row r="68" spans="1:10" x14ac:dyDescent="0.35">
      <c r="A68" t="s">
        <v>187</v>
      </c>
      <c r="B68" t="s">
        <v>118</v>
      </c>
      <c r="C68" t="s">
        <v>2</v>
      </c>
      <c r="D68" s="2">
        <v>545975</v>
      </c>
      <c r="E68" s="3">
        <v>0.1128</v>
      </c>
      <c r="F68">
        <v>5</v>
      </c>
      <c r="G68" t="s">
        <v>188</v>
      </c>
      <c r="H68">
        <v>650</v>
      </c>
      <c r="I68" t="s">
        <v>19</v>
      </c>
      <c r="J68">
        <v>650</v>
      </c>
    </row>
    <row r="69" spans="1:10" x14ac:dyDescent="0.35">
      <c r="A69" t="s">
        <v>189</v>
      </c>
      <c r="B69" t="s">
        <v>168</v>
      </c>
      <c r="C69" t="s">
        <v>32</v>
      </c>
      <c r="D69" s="2">
        <v>355759</v>
      </c>
      <c r="E69" s="3">
        <v>0.1459</v>
      </c>
      <c r="F69">
        <v>2</v>
      </c>
      <c r="G69" t="s">
        <v>190</v>
      </c>
      <c r="H69">
        <v>720</v>
      </c>
      <c r="I69" t="s">
        <v>9</v>
      </c>
      <c r="J69">
        <v>720</v>
      </c>
    </row>
    <row r="70" spans="1:10" x14ac:dyDescent="0.35">
      <c r="A70" t="s">
        <v>191</v>
      </c>
      <c r="B70" t="s">
        <v>24</v>
      </c>
      <c r="C70" t="s">
        <v>2</v>
      </c>
      <c r="D70" s="2">
        <v>1431104</v>
      </c>
      <c r="E70" s="3">
        <v>8.9900000000000008E-2</v>
      </c>
      <c r="F70">
        <v>5</v>
      </c>
      <c r="G70" t="s">
        <v>192</v>
      </c>
      <c r="H70">
        <v>829</v>
      </c>
      <c r="I70" t="s">
        <v>4</v>
      </c>
      <c r="J70">
        <v>829</v>
      </c>
    </row>
    <row r="71" spans="1:10" x14ac:dyDescent="0.35">
      <c r="A71" t="s">
        <v>193</v>
      </c>
      <c r="B71" t="s">
        <v>61</v>
      </c>
      <c r="C71" t="s">
        <v>7</v>
      </c>
      <c r="D71" s="2">
        <v>7180118</v>
      </c>
      <c r="E71" s="3">
        <v>7.2300000000000003E-2</v>
      </c>
      <c r="F71">
        <v>30</v>
      </c>
      <c r="G71" t="s">
        <v>194</v>
      </c>
      <c r="H71">
        <v>741</v>
      </c>
      <c r="I71" t="s">
        <v>19</v>
      </c>
      <c r="J71">
        <v>741</v>
      </c>
    </row>
    <row r="72" spans="1:10" x14ac:dyDescent="0.35">
      <c r="A72" t="s">
        <v>195</v>
      </c>
      <c r="B72" t="s">
        <v>21</v>
      </c>
      <c r="C72" t="s">
        <v>32</v>
      </c>
      <c r="D72" s="2">
        <v>224436</v>
      </c>
      <c r="E72" s="3">
        <v>0.1172</v>
      </c>
      <c r="F72">
        <v>7</v>
      </c>
      <c r="G72" t="s">
        <v>196</v>
      </c>
      <c r="H72">
        <v>822</v>
      </c>
      <c r="I72" t="s">
        <v>19</v>
      </c>
      <c r="J72">
        <v>822</v>
      </c>
    </row>
    <row r="73" spans="1:10" x14ac:dyDescent="0.35">
      <c r="A73" t="s">
        <v>197</v>
      </c>
      <c r="B73" t="s">
        <v>106</v>
      </c>
      <c r="C73" t="s">
        <v>25</v>
      </c>
      <c r="D73" s="2">
        <v>2084595</v>
      </c>
      <c r="E73" s="3">
        <v>9.1600000000000001E-2</v>
      </c>
      <c r="F73">
        <v>5</v>
      </c>
      <c r="G73" t="s">
        <v>198</v>
      </c>
      <c r="H73">
        <v>658</v>
      </c>
      <c r="I73" t="s">
        <v>9</v>
      </c>
      <c r="J73">
        <v>658</v>
      </c>
    </row>
    <row r="74" spans="1:10" x14ac:dyDescent="0.35">
      <c r="A74" t="s">
        <v>199</v>
      </c>
      <c r="B74" t="s">
        <v>28</v>
      </c>
      <c r="C74" t="s">
        <v>25</v>
      </c>
      <c r="D74" s="2">
        <v>4012017</v>
      </c>
      <c r="E74" s="3">
        <v>0.122</v>
      </c>
      <c r="F74">
        <v>7</v>
      </c>
      <c r="G74" t="s">
        <v>200</v>
      </c>
      <c r="H74">
        <v>856</v>
      </c>
      <c r="I74" t="s">
        <v>4</v>
      </c>
      <c r="J74">
        <v>856</v>
      </c>
    </row>
    <row r="75" spans="1:10" x14ac:dyDescent="0.35">
      <c r="A75" t="s">
        <v>201</v>
      </c>
      <c r="B75" t="s">
        <v>144</v>
      </c>
      <c r="C75" t="s">
        <v>32</v>
      </c>
      <c r="D75" s="2">
        <v>618757</v>
      </c>
      <c r="E75" s="3">
        <v>0.1193</v>
      </c>
      <c r="F75">
        <v>3</v>
      </c>
      <c r="G75" t="s">
        <v>202</v>
      </c>
      <c r="H75">
        <v>812</v>
      </c>
      <c r="I75" t="s">
        <v>4</v>
      </c>
      <c r="J75">
        <v>812</v>
      </c>
    </row>
    <row r="76" spans="1:10" x14ac:dyDescent="0.35">
      <c r="A76" t="s">
        <v>203</v>
      </c>
      <c r="B76" t="s">
        <v>204</v>
      </c>
      <c r="C76" t="s">
        <v>12</v>
      </c>
      <c r="D76" s="2">
        <v>2180325</v>
      </c>
      <c r="E76" s="3">
        <v>8.6400000000000005E-2</v>
      </c>
      <c r="F76">
        <v>7</v>
      </c>
      <c r="G76" t="s">
        <v>205</v>
      </c>
      <c r="H76">
        <v>755</v>
      </c>
      <c r="I76" t="s">
        <v>9</v>
      </c>
      <c r="J76">
        <v>755</v>
      </c>
    </row>
    <row r="77" spans="1:10" x14ac:dyDescent="0.35">
      <c r="A77" t="s">
        <v>206</v>
      </c>
      <c r="B77" t="s">
        <v>207</v>
      </c>
      <c r="C77" t="s">
        <v>2</v>
      </c>
      <c r="D77" s="2">
        <v>1202920</v>
      </c>
      <c r="E77" s="3">
        <v>9.1700000000000004E-2</v>
      </c>
      <c r="F77">
        <v>7</v>
      </c>
      <c r="G77" t="s">
        <v>208</v>
      </c>
      <c r="H77">
        <v>714</v>
      </c>
      <c r="I77" t="s">
        <v>19</v>
      </c>
      <c r="J77">
        <v>714</v>
      </c>
    </row>
    <row r="78" spans="1:10" x14ac:dyDescent="0.35">
      <c r="A78" t="s">
        <v>209</v>
      </c>
      <c r="B78" t="s">
        <v>77</v>
      </c>
      <c r="C78" t="s">
        <v>7</v>
      </c>
      <c r="D78" s="2">
        <v>3073726</v>
      </c>
      <c r="E78" s="3">
        <v>9.0899999999999995E-2</v>
      </c>
      <c r="F78">
        <v>20</v>
      </c>
      <c r="G78" t="s">
        <v>210</v>
      </c>
      <c r="H78">
        <v>729</v>
      </c>
      <c r="I78" t="s">
        <v>19</v>
      </c>
      <c r="J78">
        <v>729</v>
      </c>
    </row>
    <row r="79" spans="1:10" x14ac:dyDescent="0.35">
      <c r="A79" t="s">
        <v>211</v>
      </c>
      <c r="B79" t="s">
        <v>86</v>
      </c>
      <c r="C79" t="s">
        <v>7</v>
      </c>
      <c r="D79" s="2">
        <v>7190281</v>
      </c>
      <c r="E79" s="3">
        <v>9.1600000000000001E-2</v>
      </c>
      <c r="F79">
        <v>20</v>
      </c>
      <c r="G79" t="s">
        <v>212</v>
      </c>
      <c r="H79">
        <v>830</v>
      </c>
      <c r="I79" t="s">
        <v>4</v>
      </c>
      <c r="J79">
        <v>830</v>
      </c>
    </row>
    <row r="80" spans="1:10" x14ac:dyDescent="0.35">
      <c r="A80" t="s">
        <v>213</v>
      </c>
      <c r="B80" t="s">
        <v>214</v>
      </c>
      <c r="C80" t="s">
        <v>2</v>
      </c>
      <c r="D80" s="2">
        <v>547194</v>
      </c>
      <c r="E80" s="3">
        <v>0.1048</v>
      </c>
      <c r="F80">
        <v>5</v>
      </c>
      <c r="G80" t="s">
        <v>215</v>
      </c>
      <c r="H80">
        <v>769</v>
      </c>
      <c r="I80" t="s">
        <v>19</v>
      </c>
      <c r="J80">
        <v>769</v>
      </c>
    </row>
    <row r="81" spans="1:10" x14ac:dyDescent="0.35">
      <c r="A81" t="s">
        <v>216</v>
      </c>
      <c r="B81" t="s">
        <v>217</v>
      </c>
      <c r="C81" t="s">
        <v>32</v>
      </c>
      <c r="D81" s="2">
        <v>417548</v>
      </c>
      <c r="E81" s="3">
        <v>0.1041</v>
      </c>
      <c r="F81">
        <v>5</v>
      </c>
      <c r="G81" t="s">
        <v>218</v>
      </c>
      <c r="H81">
        <v>838</v>
      </c>
      <c r="I81" t="s">
        <v>19</v>
      </c>
      <c r="J81">
        <v>838</v>
      </c>
    </row>
    <row r="82" spans="1:10" x14ac:dyDescent="0.35">
      <c r="A82" t="s">
        <v>219</v>
      </c>
      <c r="B82" t="s">
        <v>31</v>
      </c>
      <c r="C82" t="s">
        <v>12</v>
      </c>
      <c r="D82" s="2">
        <v>1883850</v>
      </c>
      <c r="E82" s="3">
        <v>0.1018</v>
      </c>
      <c r="F82">
        <v>7</v>
      </c>
      <c r="G82" t="s">
        <v>220</v>
      </c>
      <c r="H82">
        <v>727</v>
      </c>
      <c r="I82" t="s">
        <v>4</v>
      </c>
      <c r="J82">
        <v>727</v>
      </c>
    </row>
    <row r="83" spans="1:10" x14ac:dyDescent="0.35">
      <c r="A83" t="s">
        <v>221</v>
      </c>
      <c r="B83" t="s">
        <v>46</v>
      </c>
      <c r="C83" t="s">
        <v>7</v>
      </c>
      <c r="D83" s="2">
        <v>5065013</v>
      </c>
      <c r="E83" s="3">
        <v>8.8000000000000009E-2</v>
      </c>
      <c r="F83">
        <v>15</v>
      </c>
      <c r="G83" t="s">
        <v>220</v>
      </c>
      <c r="H83">
        <v>725</v>
      </c>
      <c r="I83" t="s">
        <v>19</v>
      </c>
      <c r="J83">
        <v>725</v>
      </c>
    </row>
    <row r="84" spans="1:10" x14ac:dyDescent="0.35">
      <c r="A84" t="s">
        <v>222</v>
      </c>
      <c r="B84" t="s">
        <v>43</v>
      </c>
      <c r="C84" t="s">
        <v>12</v>
      </c>
      <c r="D84" s="2">
        <v>2287282</v>
      </c>
      <c r="E84" s="3">
        <v>7.7800000000000008E-2</v>
      </c>
      <c r="F84">
        <v>15</v>
      </c>
      <c r="G84" t="s">
        <v>223</v>
      </c>
      <c r="H84">
        <v>696</v>
      </c>
      <c r="I84" t="s">
        <v>9</v>
      </c>
      <c r="J84">
        <v>696</v>
      </c>
    </row>
    <row r="85" spans="1:10" x14ac:dyDescent="0.35">
      <c r="A85" t="s">
        <v>224</v>
      </c>
      <c r="B85" t="s">
        <v>225</v>
      </c>
      <c r="C85" t="s">
        <v>12</v>
      </c>
      <c r="D85" s="2">
        <v>2480785</v>
      </c>
      <c r="E85" s="3">
        <v>9.8699999999999996E-2</v>
      </c>
      <c r="F85">
        <v>7</v>
      </c>
      <c r="G85" t="s">
        <v>226</v>
      </c>
      <c r="H85">
        <v>725</v>
      </c>
      <c r="I85" t="s">
        <v>19</v>
      </c>
      <c r="J85">
        <v>725</v>
      </c>
    </row>
    <row r="86" spans="1:10" x14ac:dyDescent="0.35">
      <c r="A86" t="s">
        <v>227</v>
      </c>
      <c r="B86" t="s">
        <v>228</v>
      </c>
      <c r="C86" t="s">
        <v>7</v>
      </c>
      <c r="D86" s="2">
        <v>5031100</v>
      </c>
      <c r="E86" s="3">
        <v>9.4399999999999998E-2</v>
      </c>
      <c r="F86">
        <v>20</v>
      </c>
      <c r="G86" t="s">
        <v>229</v>
      </c>
      <c r="H86">
        <v>827</v>
      </c>
      <c r="I86" t="s">
        <v>9</v>
      </c>
      <c r="J86">
        <v>827</v>
      </c>
    </row>
    <row r="87" spans="1:10" x14ac:dyDescent="0.35">
      <c r="A87" t="s">
        <v>230</v>
      </c>
      <c r="B87" t="s">
        <v>231</v>
      </c>
      <c r="C87" t="s">
        <v>32</v>
      </c>
      <c r="D87" s="2">
        <v>240558</v>
      </c>
      <c r="E87" s="3">
        <v>0.13189999999999999</v>
      </c>
      <c r="F87">
        <v>2</v>
      </c>
      <c r="G87" t="s">
        <v>232</v>
      </c>
      <c r="H87">
        <v>679</v>
      </c>
      <c r="I87" t="s">
        <v>4</v>
      </c>
      <c r="J87">
        <v>679</v>
      </c>
    </row>
    <row r="88" spans="1:10" x14ac:dyDescent="0.35">
      <c r="A88" t="s">
        <v>233</v>
      </c>
      <c r="B88" t="s">
        <v>28</v>
      </c>
      <c r="C88" t="s">
        <v>2</v>
      </c>
      <c r="D88" s="2">
        <v>1074983</v>
      </c>
      <c r="E88" s="3">
        <v>9.9299999999999999E-2</v>
      </c>
      <c r="F88">
        <v>3</v>
      </c>
      <c r="G88" t="s">
        <v>234</v>
      </c>
      <c r="H88">
        <v>721</v>
      </c>
      <c r="I88" t="s">
        <v>19</v>
      </c>
      <c r="J88">
        <v>721</v>
      </c>
    </row>
    <row r="89" spans="1:10" x14ac:dyDescent="0.35">
      <c r="A89" t="s">
        <v>235</v>
      </c>
      <c r="B89" t="s">
        <v>28</v>
      </c>
      <c r="C89" t="s">
        <v>12</v>
      </c>
      <c r="D89" s="2">
        <v>477307</v>
      </c>
      <c r="E89" s="3">
        <v>9.0899999999999995E-2</v>
      </c>
      <c r="F89">
        <v>7</v>
      </c>
      <c r="G89" t="s">
        <v>236</v>
      </c>
      <c r="H89">
        <v>711</v>
      </c>
      <c r="I89" t="s">
        <v>4</v>
      </c>
      <c r="J89">
        <v>711</v>
      </c>
    </row>
    <row r="90" spans="1:10" x14ac:dyDescent="0.35">
      <c r="A90" t="s">
        <v>237</v>
      </c>
      <c r="B90" t="s">
        <v>115</v>
      </c>
      <c r="C90" t="s">
        <v>25</v>
      </c>
      <c r="D90" s="2">
        <v>1033308</v>
      </c>
      <c r="E90" s="3">
        <v>0.13800000000000001</v>
      </c>
      <c r="F90">
        <v>5</v>
      </c>
      <c r="G90" t="s">
        <v>238</v>
      </c>
      <c r="H90">
        <v>779</v>
      </c>
      <c r="I90" t="s">
        <v>9</v>
      </c>
      <c r="J90">
        <v>779</v>
      </c>
    </row>
    <row r="91" spans="1:10" x14ac:dyDescent="0.35">
      <c r="A91" t="s">
        <v>239</v>
      </c>
      <c r="B91" t="s">
        <v>240</v>
      </c>
      <c r="C91" t="s">
        <v>2</v>
      </c>
      <c r="D91" s="2">
        <v>1301959</v>
      </c>
      <c r="E91" s="3">
        <v>0.1113</v>
      </c>
      <c r="F91">
        <v>3</v>
      </c>
      <c r="G91" t="s">
        <v>241</v>
      </c>
      <c r="H91">
        <v>763</v>
      </c>
      <c r="I91" t="s">
        <v>19</v>
      </c>
      <c r="J91">
        <v>763</v>
      </c>
    </row>
    <row r="92" spans="1:10" x14ac:dyDescent="0.35">
      <c r="A92" t="s">
        <v>242</v>
      </c>
      <c r="B92" t="s">
        <v>243</v>
      </c>
      <c r="C92" t="s">
        <v>7</v>
      </c>
      <c r="D92" s="2">
        <v>2160788</v>
      </c>
      <c r="E92" s="3">
        <v>8.3000000000000004E-2</v>
      </c>
      <c r="F92">
        <v>15</v>
      </c>
      <c r="G92" t="s">
        <v>152</v>
      </c>
      <c r="H92">
        <v>814</v>
      </c>
      <c r="I92" t="s">
        <v>4</v>
      </c>
      <c r="J92">
        <v>814</v>
      </c>
    </row>
    <row r="93" spans="1:10" x14ac:dyDescent="0.35">
      <c r="A93" t="s">
        <v>244</v>
      </c>
      <c r="B93" t="s">
        <v>61</v>
      </c>
      <c r="C93" t="s">
        <v>2</v>
      </c>
      <c r="D93" s="2">
        <v>1361160</v>
      </c>
      <c r="E93" s="3">
        <v>8.9399999999999993E-2</v>
      </c>
      <c r="F93">
        <v>3</v>
      </c>
      <c r="G93" t="s">
        <v>245</v>
      </c>
      <c r="H93">
        <v>747</v>
      </c>
      <c r="I93" t="s">
        <v>19</v>
      </c>
      <c r="J93">
        <v>747</v>
      </c>
    </row>
    <row r="94" spans="1:10" x14ac:dyDescent="0.35">
      <c r="A94" t="s">
        <v>246</v>
      </c>
      <c r="B94" t="s">
        <v>228</v>
      </c>
      <c r="C94" t="s">
        <v>32</v>
      </c>
      <c r="D94" s="2">
        <v>890649</v>
      </c>
      <c r="E94" s="3">
        <v>0.15290000000000001</v>
      </c>
      <c r="F94">
        <v>7</v>
      </c>
      <c r="G94" t="s">
        <v>247</v>
      </c>
      <c r="H94">
        <v>734</v>
      </c>
      <c r="I94" t="s">
        <v>19</v>
      </c>
      <c r="J94">
        <v>734</v>
      </c>
    </row>
    <row r="95" spans="1:10" x14ac:dyDescent="0.35">
      <c r="A95" t="s">
        <v>248</v>
      </c>
      <c r="B95" t="s">
        <v>249</v>
      </c>
      <c r="C95" t="s">
        <v>7</v>
      </c>
      <c r="D95" s="2">
        <v>4933983</v>
      </c>
      <c r="E95" s="3">
        <v>8.1500000000000003E-2</v>
      </c>
      <c r="F95">
        <v>30</v>
      </c>
      <c r="G95" t="s">
        <v>101</v>
      </c>
      <c r="H95">
        <v>751</v>
      </c>
      <c r="I95" t="s">
        <v>19</v>
      </c>
      <c r="J95">
        <v>751</v>
      </c>
    </row>
    <row r="96" spans="1:10" x14ac:dyDescent="0.35">
      <c r="A96" t="s">
        <v>250</v>
      </c>
      <c r="B96" t="s">
        <v>174</v>
      </c>
      <c r="C96" t="s">
        <v>32</v>
      </c>
      <c r="D96" s="2">
        <v>1460916</v>
      </c>
      <c r="E96" s="3">
        <v>0.1109</v>
      </c>
      <c r="F96">
        <v>3</v>
      </c>
      <c r="G96" t="s">
        <v>229</v>
      </c>
      <c r="H96">
        <v>778</v>
      </c>
      <c r="I96" t="s">
        <v>4</v>
      </c>
      <c r="J96">
        <v>778</v>
      </c>
    </row>
    <row r="97" spans="1:10" x14ac:dyDescent="0.35">
      <c r="A97" t="s">
        <v>251</v>
      </c>
      <c r="B97" t="s">
        <v>252</v>
      </c>
      <c r="C97" t="s">
        <v>12</v>
      </c>
      <c r="D97" s="2">
        <v>2159959</v>
      </c>
      <c r="E97" s="3">
        <v>8.8200000000000001E-2</v>
      </c>
      <c r="F97">
        <v>15</v>
      </c>
      <c r="G97" t="s">
        <v>253</v>
      </c>
      <c r="H97">
        <v>895</v>
      </c>
      <c r="I97" t="s">
        <v>9</v>
      </c>
      <c r="J97">
        <v>895</v>
      </c>
    </row>
    <row r="98" spans="1:10" x14ac:dyDescent="0.35">
      <c r="A98" t="s">
        <v>254</v>
      </c>
      <c r="B98" t="s">
        <v>255</v>
      </c>
      <c r="C98" t="s">
        <v>32</v>
      </c>
      <c r="D98" s="2">
        <v>1736487</v>
      </c>
      <c r="E98" s="3">
        <v>0.14899999999999999</v>
      </c>
      <c r="F98">
        <v>2</v>
      </c>
      <c r="G98" t="s">
        <v>256</v>
      </c>
      <c r="H98">
        <v>706</v>
      </c>
      <c r="I98" t="s">
        <v>9</v>
      </c>
      <c r="J98">
        <v>706</v>
      </c>
    </row>
    <row r="99" spans="1:10" x14ac:dyDescent="0.35">
      <c r="A99" t="s">
        <v>257</v>
      </c>
      <c r="B99" t="s">
        <v>243</v>
      </c>
      <c r="C99" t="s">
        <v>12</v>
      </c>
      <c r="D99" s="2">
        <v>377761</v>
      </c>
      <c r="E99" s="3">
        <v>8.7799999999999989E-2</v>
      </c>
      <c r="F99">
        <v>15</v>
      </c>
      <c r="G99" t="s">
        <v>220</v>
      </c>
      <c r="H99">
        <v>839</v>
      </c>
      <c r="I99" t="s">
        <v>4</v>
      </c>
      <c r="J99">
        <v>839</v>
      </c>
    </row>
    <row r="100" spans="1:10" x14ac:dyDescent="0.35">
      <c r="A100" t="s">
        <v>258</v>
      </c>
      <c r="B100" t="s">
        <v>103</v>
      </c>
      <c r="C100" t="s">
        <v>2</v>
      </c>
      <c r="D100" s="2">
        <v>344254</v>
      </c>
      <c r="E100" s="3">
        <v>0.1147</v>
      </c>
      <c r="F100">
        <v>7</v>
      </c>
      <c r="G100" t="s">
        <v>259</v>
      </c>
      <c r="H100">
        <v>696</v>
      </c>
      <c r="I100" t="s">
        <v>4</v>
      </c>
      <c r="J100">
        <v>696</v>
      </c>
    </row>
    <row r="101" spans="1:10" x14ac:dyDescent="0.35">
      <c r="A101" t="s">
        <v>260</v>
      </c>
      <c r="B101" t="s">
        <v>261</v>
      </c>
      <c r="C101" t="s">
        <v>7</v>
      </c>
      <c r="D101" s="2">
        <v>5477923</v>
      </c>
      <c r="E101" s="3">
        <v>8.8599999999999998E-2</v>
      </c>
      <c r="F101">
        <v>15</v>
      </c>
      <c r="G101" t="s">
        <v>262</v>
      </c>
      <c r="H101">
        <v>767</v>
      </c>
      <c r="I101" t="s">
        <v>19</v>
      </c>
      <c r="J101">
        <v>767</v>
      </c>
    </row>
  </sheetData>
  <conditionalFormatting sqref="I1:I1048576">
    <cfRule type="cellIs" dxfId="2" priority="1" operator="equal">
      <formula>"Pending"</formula>
    </cfRule>
    <cfRule type="cellIs" dxfId="1" priority="2" operator="equal">
      <formula>"Closed"</formula>
    </cfRule>
    <cfRule type="cellIs" dxfId="0" priority="3" operator="equal">
      <formula>"Active"</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3D6D-56FB-4D4C-B083-CFCD23D718AD}">
  <dimension ref="A3:I244"/>
  <sheetViews>
    <sheetView showGridLines="0" zoomScale="142" workbookViewId="0">
      <selection activeCell="C22" sqref="C22"/>
    </sheetView>
  </sheetViews>
  <sheetFormatPr defaultRowHeight="14.5" x14ac:dyDescent="0.35"/>
  <cols>
    <col min="1" max="1" width="14.36328125" bestFit="1" customWidth="1"/>
    <col min="2" max="2" width="13.36328125" style="11" bestFit="1" customWidth="1"/>
    <col min="4" max="4" width="14.08984375" style="8" bestFit="1" customWidth="1"/>
    <col min="5" max="5" width="10.90625" bestFit="1" customWidth="1"/>
    <col min="6" max="6" width="12.453125" bestFit="1" customWidth="1"/>
    <col min="7" max="7" width="11.36328125" bestFit="1" customWidth="1"/>
    <col min="8" max="8" width="12.7265625" bestFit="1" customWidth="1"/>
    <col min="9" max="9" width="13.81640625" bestFit="1" customWidth="1"/>
  </cols>
  <sheetData>
    <row r="3" spans="1:9" x14ac:dyDescent="0.35">
      <c r="A3" s="6" t="s">
        <v>274</v>
      </c>
      <c r="B3" s="10" t="s">
        <v>57</v>
      </c>
      <c r="D3" s="25" t="s">
        <v>284</v>
      </c>
      <c r="E3" s="25"/>
      <c r="F3" s="25"/>
      <c r="G3" s="25"/>
      <c r="H3" s="25"/>
      <c r="I3" s="25"/>
    </row>
    <row r="4" spans="1:9" x14ac:dyDescent="0.35">
      <c r="D4" s="9" t="s">
        <v>285</v>
      </c>
      <c r="E4" s="6" t="s">
        <v>286</v>
      </c>
      <c r="F4" s="6" t="s">
        <v>287</v>
      </c>
      <c r="G4" s="6" t="s">
        <v>288</v>
      </c>
      <c r="H4" s="6" t="s">
        <v>289</v>
      </c>
      <c r="I4" s="6" t="s">
        <v>290</v>
      </c>
    </row>
    <row r="5" spans="1:9" x14ac:dyDescent="0.35">
      <c r="A5" s="6" t="s">
        <v>272</v>
      </c>
      <c r="B5" s="10" t="str">
        <f>_xlfn.XLOOKUP($B$3,tblLoan[Loan_ID],tblLoan[Customer_Name])</f>
        <v>Arjun Das</v>
      </c>
      <c r="D5" s="8" cm="1">
        <f t="array" ref="D5:D184">_xlfn.SEQUENCE($B$9*12)</f>
        <v>1</v>
      </c>
      <c r="E5" s="7">
        <f>-PMT($B$8/12,$B$9*12-D5+1,IF(D5=1,$B$7,I4))</f>
        <v>39266.750814437728</v>
      </c>
      <c r="F5" s="7">
        <f>-PPMT($B$8/12,1,$B$9*12-D5+1,IF(D5=1,$B$7,I4))</f>
        <v>7375.5441477710556</v>
      </c>
      <c r="G5" s="7">
        <f>E5-F5</f>
        <v>31891.206666666672</v>
      </c>
      <c r="I5" s="4">
        <f>$B$7-SUM($F$5:F5)-SUM($H$5:H5)</f>
        <v>3409539.4558522291</v>
      </c>
    </row>
    <row r="6" spans="1:9" x14ac:dyDescent="0.35">
      <c r="A6" s="6" t="s">
        <v>273</v>
      </c>
      <c r="B6" s="10" t="str">
        <f>_xlfn.XLOOKUP($B$3,tblLoan[Loan_ID],tblLoan[Loan_Type])</f>
        <v>Business Loan</v>
      </c>
      <c r="D6" s="8">
        <v>2</v>
      </c>
      <c r="E6" s="7">
        <f t="shared" ref="E6:E69" si="0">-PMT($B$8/12,$B$9*12-D6+1,IF(D6=1,$B$7,I5))</f>
        <v>39266.750814437728</v>
      </c>
      <c r="F6" s="7">
        <f t="shared" ref="F6:F69" si="1">-PPMT($B$8/12,1,$B$9*12-D6+1,IF(D6=1,$B$7,I5))</f>
        <v>7444.3825598169187</v>
      </c>
      <c r="G6" s="7">
        <f t="shared" ref="G6:G69" si="2">E6-F6</f>
        <v>31822.368254620807</v>
      </c>
      <c r="I6" s="4">
        <f>$B$7-SUM($F$5:F6)-SUM($H$5:H6)</f>
        <v>3402095.0732924119</v>
      </c>
    </row>
    <row r="7" spans="1:9" x14ac:dyDescent="0.35">
      <c r="A7" s="6" t="s">
        <v>275</v>
      </c>
      <c r="B7" s="12">
        <f>_xlfn.XLOOKUP($B$3,tblLoan[Loan_ID],tblLoan[Loan_Amount])</f>
        <v>3416915</v>
      </c>
      <c r="D7" s="8">
        <v>3</v>
      </c>
      <c r="E7" s="7">
        <f t="shared" si="0"/>
        <v>39266.750814437721</v>
      </c>
      <c r="F7" s="7">
        <f>-PPMT($B$8/12,1,$B$9*12-D7+1,IF(D7=1,$B$7,I6))</f>
        <v>7513.8634637085415</v>
      </c>
      <c r="G7" s="7">
        <f t="shared" si="2"/>
        <v>31752.887350729179</v>
      </c>
      <c r="I7" s="4">
        <f>$B$7-SUM($F$5:F7)-SUM($H$5:H7)</f>
        <v>3394581.2098287037</v>
      </c>
    </row>
    <row r="8" spans="1:9" x14ac:dyDescent="0.35">
      <c r="A8" s="6" t="s">
        <v>276</v>
      </c>
      <c r="B8" s="13">
        <f>_xlfn.XLOOKUP($B$3,tblLoan[Loan_ID],tblLoan[Interest_Rate])</f>
        <v>0.112</v>
      </c>
      <c r="D8" s="8">
        <v>4</v>
      </c>
      <c r="E8" s="7">
        <f>-PMT($B$8/12,$B$9*12-D8+1,IF(D8=1,$B$7,I7))</f>
        <v>39266.750814437728</v>
      </c>
      <c r="F8" s="7">
        <f t="shared" si="1"/>
        <v>7583.9928560364897</v>
      </c>
      <c r="G8" s="7">
        <f t="shared" si="2"/>
        <v>31682.757958401238</v>
      </c>
      <c r="I8" s="4">
        <f>$B$7-SUM($F$5:F8)-SUM($H$5:H8)</f>
        <v>3386997.2169726668</v>
      </c>
    </row>
    <row r="9" spans="1:9" x14ac:dyDescent="0.35">
      <c r="A9" s="6" t="s">
        <v>277</v>
      </c>
      <c r="B9" s="10">
        <f>_xlfn.XLOOKUP($B$3,tblLoan[Loan_ID],tblLoan[Duration_Years])</f>
        <v>15</v>
      </c>
      <c r="D9" s="8">
        <v>5</v>
      </c>
      <c r="E9" s="7">
        <f t="shared" si="0"/>
        <v>39266.750814437721</v>
      </c>
      <c r="F9" s="7">
        <f t="shared" si="1"/>
        <v>7654.7767893594955</v>
      </c>
      <c r="G9" s="7">
        <f t="shared" si="2"/>
        <v>31611.974025078227</v>
      </c>
      <c r="I9" s="4">
        <f>$B$7-SUM($F$5:F9)-SUM($H$5:H9)</f>
        <v>3379342.4401833075</v>
      </c>
    </row>
    <row r="10" spans="1:9" x14ac:dyDescent="0.35">
      <c r="A10" s="6" t="s">
        <v>278</v>
      </c>
      <c r="B10" s="14" t="str">
        <f>_xlfn.XLOOKUP($B$3,tblLoan[Loan_ID],tblLoan[EMI_Start_Date])</f>
        <v>13-03-2024</v>
      </c>
      <c r="D10" s="8">
        <v>6</v>
      </c>
      <c r="E10" s="7">
        <f t="shared" si="0"/>
        <v>39266.750814437721</v>
      </c>
      <c r="F10" s="7">
        <f t="shared" si="1"/>
        <v>7726.2213727268509</v>
      </c>
      <c r="G10" s="7">
        <f t="shared" si="2"/>
        <v>31540.529441710871</v>
      </c>
      <c r="I10" s="4">
        <f>$B$7-SUM($F$5:F10)-SUM($H$5:H10)</f>
        <v>3371616.2188105807</v>
      </c>
    </row>
    <row r="11" spans="1:9" x14ac:dyDescent="0.35">
      <c r="A11" s="6" t="s">
        <v>279</v>
      </c>
      <c r="B11" s="10">
        <f>_xlfn.XLOOKUP($B$3,tblLoan[Loan_ID],tblLoan[Credit_Score])</f>
        <v>664</v>
      </c>
      <c r="D11" s="8">
        <v>7</v>
      </c>
      <c r="E11" s="7">
        <f t="shared" si="0"/>
        <v>39266.750814437728</v>
      </c>
      <c r="F11" s="7">
        <f t="shared" si="1"/>
        <v>7798.3327722056365</v>
      </c>
      <c r="G11" s="7">
        <f t="shared" si="2"/>
        <v>31468.418042232093</v>
      </c>
      <c r="I11" s="4">
        <f>$B$7-SUM($F$5:F11)-SUM($H$5:H11)</f>
        <v>3363817.8860383751</v>
      </c>
    </row>
    <row r="12" spans="1:9" x14ac:dyDescent="0.35">
      <c r="A12" s="6" t="s">
        <v>280</v>
      </c>
      <c r="B12" s="10" t="str">
        <f>_xlfn.XLOOKUP($B$3,tblLoan[Loan_ID],tblLoan[Loan_Status])</f>
        <v>Active</v>
      </c>
      <c r="D12" s="8">
        <v>8</v>
      </c>
      <c r="E12" s="7">
        <f t="shared" si="0"/>
        <v>39266.750814437728</v>
      </c>
      <c r="F12" s="7">
        <f t="shared" si="1"/>
        <v>7871.1172114128904</v>
      </c>
      <c r="G12" s="7">
        <f t="shared" si="2"/>
        <v>31395.633603024839</v>
      </c>
      <c r="I12" s="4">
        <f>$B$7-SUM($F$5:F12)-SUM($H$5:H12)</f>
        <v>3355946.768826962</v>
      </c>
    </row>
    <row r="13" spans="1:9" x14ac:dyDescent="0.35">
      <c r="D13" s="8">
        <v>9</v>
      </c>
      <c r="E13" s="7">
        <f t="shared" si="0"/>
        <v>39266.750814437721</v>
      </c>
      <c r="F13" s="7">
        <f t="shared" si="1"/>
        <v>7944.5809720527404</v>
      </c>
      <c r="G13" s="7">
        <f t="shared" si="2"/>
        <v>31322.169842384981</v>
      </c>
      <c r="I13" s="4">
        <f>$B$7-SUM($F$5:F13)-SUM($H$5:H13)</f>
        <v>3348002.1878549093</v>
      </c>
    </row>
    <row r="14" spans="1:9" x14ac:dyDescent="0.35">
      <c r="A14" s="6" t="s">
        <v>281</v>
      </c>
      <c r="B14" s="15">
        <f>-PMT($B$8/12,$B$9*12,$B$7)</f>
        <v>39266.750814437728</v>
      </c>
      <c r="D14" s="8">
        <v>10</v>
      </c>
      <c r="E14" s="7">
        <f t="shared" si="0"/>
        <v>39266.750814437728</v>
      </c>
      <c r="F14" s="7">
        <f t="shared" si="1"/>
        <v>8018.7303944585674</v>
      </c>
      <c r="G14" s="7">
        <f t="shared" si="2"/>
        <v>31248.020419979162</v>
      </c>
      <c r="I14" s="4">
        <f>$B$7-SUM($F$5:F14)-SUM($H$5:H14)</f>
        <v>3339983.4574604509</v>
      </c>
    </row>
    <row r="15" spans="1:9" x14ac:dyDescent="0.35">
      <c r="A15" s="6" t="s">
        <v>282</v>
      </c>
      <c r="B15" s="15">
        <f>$B$14*$B$9*12</f>
        <v>7068015.1465987908</v>
      </c>
      <c r="D15" s="8">
        <v>11</v>
      </c>
      <c r="E15" s="7">
        <f t="shared" si="0"/>
        <v>39266.750814437728</v>
      </c>
      <c r="F15" s="7">
        <f t="shared" si="1"/>
        <v>8093.5718781401811</v>
      </c>
      <c r="G15" s="7">
        <f t="shared" si="2"/>
        <v>31173.178936297547</v>
      </c>
      <c r="I15" s="4">
        <f>$B$7-SUM($F$5:F15)-SUM($H$5:H15)</f>
        <v>3331889.8855823106</v>
      </c>
    </row>
    <row r="16" spans="1:9" x14ac:dyDescent="0.35">
      <c r="A16" s="6" t="s">
        <v>283</v>
      </c>
      <c r="B16" s="15">
        <f>$B$15-$B$7</f>
        <v>3651100.1465987908</v>
      </c>
      <c r="D16" s="8">
        <v>12</v>
      </c>
      <c r="E16" s="7">
        <f t="shared" si="0"/>
        <v>39266.750814437721</v>
      </c>
      <c r="F16" s="7">
        <f t="shared" si="1"/>
        <v>8169.1118823361539</v>
      </c>
      <c r="G16" s="7">
        <f t="shared" si="2"/>
        <v>31097.638932101567</v>
      </c>
      <c r="I16" s="4">
        <f>$B$7-SUM($F$5:F16)-SUM($H$5:H16)</f>
        <v>3323720.7736999746</v>
      </c>
    </row>
    <row r="17" spans="4:9" x14ac:dyDescent="0.35">
      <c r="D17" s="8">
        <v>13</v>
      </c>
      <c r="E17" s="7">
        <f t="shared" si="0"/>
        <v>39266.750814437728</v>
      </c>
      <c r="F17" s="7">
        <f t="shared" si="1"/>
        <v>8245.356926571294</v>
      </c>
      <c r="G17" s="7">
        <f t="shared" si="2"/>
        <v>31021.393887866434</v>
      </c>
      <c r="I17" s="4">
        <f>$B$7-SUM($F$5:F17)-SUM($H$5:H17)</f>
        <v>3315475.4167734031</v>
      </c>
    </row>
    <row r="18" spans="4:9" x14ac:dyDescent="0.35">
      <c r="D18" s="8">
        <v>14</v>
      </c>
      <c r="E18" s="7">
        <f t="shared" si="0"/>
        <v>39266.750814437721</v>
      </c>
      <c r="F18" s="7">
        <f t="shared" si="1"/>
        <v>8322.313591219292</v>
      </c>
      <c r="G18" s="7">
        <f t="shared" si="2"/>
        <v>30944.437223218429</v>
      </c>
      <c r="I18" s="4">
        <f>$B$7-SUM($F$5:F18)-SUM($H$5:H18)</f>
        <v>3307153.103182184</v>
      </c>
    </row>
    <row r="19" spans="4:9" x14ac:dyDescent="0.35">
      <c r="D19" s="8">
        <v>15</v>
      </c>
      <c r="E19" s="7">
        <f t="shared" si="0"/>
        <v>39266.750814437728</v>
      </c>
      <c r="F19" s="7">
        <f t="shared" si="1"/>
        <v>8399.9885180706715</v>
      </c>
      <c r="G19" s="7">
        <f t="shared" si="2"/>
        <v>30866.762296367058</v>
      </c>
      <c r="I19" s="4">
        <f>$B$7-SUM($F$5:F19)-SUM($H$5:H19)</f>
        <v>3298753.1146641131</v>
      </c>
    </row>
    <row r="20" spans="4:9" x14ac:dyDescent="0.35">
      <c r="D20" s="8">
        <v>16</v>
      </c>
      <c r="E20" s="7">
        <f t="shared" si="0"/>
        <v>39266.750814437728</v>
      </c>
      <c r="F20" s="7">
        <f t="shared" si="1"/>
        <v>8478.388410906</v>
      </c>
      <c r="G20" s="7">
        <f t="shared" si="2"/>
        <v>30788.362403531726</v>
      </c>
      <c r="I20" s="4">
        <f>$B$7-SUM($F$5:F20)-SUM($H$5:H20)</f>
        <v>3290274.7262532073</v>
      </c>
    </row>
    <row r="21" spans="4:9" x14ac:dyDescent="0.35">
      <c r="D21" s="8">
        <v>17</v>
      </c>
      <c r="E21" s="7">
        <f t="shared" si="0"/>
        <v>39266.750814437721</v>
      </c>
      <c r="F21" s="7">
        <f t="shared" si="1"/>
        <v>8557.5200360744529</v>
      </c>
      <c r="G21" s="7">
        <f t="shared" si="2"/>
        <v>30709.230778363268</v>
      </c>
      <c r="I21" s="4">
        <f>$B$7-SUM($F$5:F21)-SUM($H$5:H21)</f>
        <v>3281717.2062171325</v>
      </c>
    </row>
    <row r="22" spans="4:9" x14ac:dyDescent="0.35">
      <c r="D22" s="8">
        <v>18</v>
      </c>
      <c r="E22" s="7">
        <f t="shared" si="0"/>
        <v>39266.750814437728</v>
      </c>
      <c r="F22" s="7">
        <f t="shared" si="1"/>
        <v>8637.3902230778167</v>
      </c>
      <c r="G22" s="7">
        <f t="shared" si="2"/>
        <v>30629.360591359909</v>
      </c>
      <c r="I22" s="4">
        <f>$B$7-SUM($F$5:F22)-SUM($H$5:H22)</f>
        <v>3273079.815994055</v>
      </c>
    </row>
    <row r="23" spans="4:9" x14ac:dyDescent="0.35">
      <c r="D23" s="8">
        <v>19</v>
      </c>
      <c r="E23" s="7">
        <f t="shared" si="0"/>
        <v>39266.750814437721</v>
      </c>
      <c r="F23" s="7">
        <f t="shared" si="1"/>
        <v>8718.0058651598738</v>
      </c>
      <c r="G23" s="7">
        <f t="shared" si="2"/>
        <v>30548.744949277847</v>
      </c>
      <c r="I23" s="4">
        <f>$B$7-SUM($F$5:F23)-SUM($H$5:H23)</f>
        <v>3264361.8101288951</v>
      </c>
    </row>
    <row r="24" spans="4:9" x14ac:dyDescent="0.35">
      <c r="D24" s="8">
        <v>20</v>
      </c>
      <c r="E24" s="7">
        <f t="shared" si="0"/>
        <v>39266.750814437721</v>
      </c>
      <c r="F24" s="7">
        <f t="shared" si="1"/>
        <v>8799.3739199013671</v>
      </c>
      <c r="G24" s="7">
        <f t="shared" si="2"/>
        <v>30467.376894536355</v>
      </c>
      <c r="I24" s="4">
        <f>$B$7-SUM($F$5:F24)-SUM($H$5:H24)</f>
        <v>3255562.4362089937</v>
      </c>
    </row>
    <row r="25" spans="4:9" x14ac:dyDescent="0.35">
      <c r="D25" s="8">
        <v>21</v>
      </c>
      <c r="E25" s="7">
        <f t="shared" si="0"/>
        <v>39266.750814437721</v>
      </c>
      <c r="F25" s="7">
        <f t="shared" si="1"/>
        <v>8881.5014098204465</v>
      </c>
      <c r="G25" s="7">
        <f t="shared" si="2"/>
        <v>30385.249404617272</v>
      </c>
      <c r="I25" s="4">
        <f>$B$7-SUM($F$5:F25)-SUM($H$5:H25)</f>
        <v>3246680.9347991734</v>
      </c>
    </row>
    <row r="26" spans="4:9" x14ac:dyDescent="0.35">
      <c r="D26" s="8">
        <v>22</v>
      </c>
      <c r="E26" s="7">
        <f t="shared" si="0"/>
        <v>39266.750814437728</v>
      </c>
      <c r="F26" s="7">
        <f t="shared" si="1"/>
        <v>8964.3954229787723</v>
      </c>
      <c r="G26" s="7">
        <f t="shared" si="2"/>
        <v>30302.355391458957</v>
      </c>
      <c r="I26" s="4">
        <f>$B$7-SUM($F$5:F26)-SUM($H$5:H26)</f>
        <v>3237716.5393761946</v>
      </c>
    </row>
    <row r="27" spans="4:9" x14ac:dyDescent="0.35">
      <c r="D27" s="8">
        <v>23</v>
      </c>
      <c r="E27" s="7">
        <f t="shared" si="0"/>
        <v>39266.750814437728</v>
      </c>
      <c r="F27" s="7">
        <f t="shared" si="1"/>
        <v>9048.0631135932399</v>
      </c>
      <c r="G27" s="7">
        <f t="shared" si="2"/>
        <v>30218.687700844486</v>
      </c>
      <c r="I27" s="4">
        <f>$B$7-SUM($F$5:F27)-SUM($H$5:H27)</f>
        <v>3228668.4762626011</v>
      </c>
    </row>
    <row r="28" spans="4:9" x14ac:dyDescent="0.35">
      <c r="D28" s="8">
        <v>24</v>
      </c>
      <c r="E28" s="7">
        <f t="shared" si="0"/>
        <v>39266.750814437721</v>
      </c>
      <c r="F28" s="7">
        <f t="shared" si="1"/>
        <v>9132.5117026534426</v>
      </c>
      <c r="G28" s="7">
        <f t="shared" si="2"/>
        <v>30134.239111784278</v>
      </c>
      <c r="I28" s="4">
        <f>$B$7-SUM($F$5:F28)-SUM($H$5:H28)</f>
        <v>3219535.9645599476</v>
      </c>
    </row>
    <row r="29" spans="4:9" x14ac:dyDescent="0.35">
      <c r="D29" s="8">
        <v>25</v>
      </c>
      <c r="E29" s="7">
        <f t="shared" si="0"/>
        <v>39266.750814437721</v>
      </c>
      <c r="F29" s="7">
        <f t="shared" si="1"/>
        <v>9217.7484785448742</v>
      </c>
      <c r="G29" s="7">
        <f t="shared" si="2"/>
        <v>30049.002335892845</v>
      </c>
      <c r="I29" s="4">
        <f>$B$7-SUM($F$5:F29)-SUM($H$5:H29)</f>
        <v>3210318.2160814027</v>
      </c>
    </row>
    <row r="30" spans="4:9" x14ac:dyDescent="0.35">
      <c r="D30" s="8">
        <v>26</v>
      </c>
      <c r="E30" s="7">
        <f t="shared" si="0"/>
        <v>39266.750814437728</v>
      </c>
      <c r="F30" s="7">
        <f t="shared" si="1"/>
        <v>9303.7807976779623</v>
      </c>
      <c r="G30" s="7">
        <f t="shared" si="2"/>
        <v>29962.970016759766</v>
      </c>
      <c r="I30" s="4">
        <f>$B$7-SUM($F$5:F30)-SUM($H$5:H30)</f>
        <v>3201014.4352837251</v>
      </c>
    </row>
    <row r="31" spans="4:9" x14ac:dyDescent="0.35">
      <c r="D31" s="8">
        <v>27</v>
      </c>
      <c r="E31" s="7">
        <f t="shared" si="0"/>
        <v>39266.750814437728</v>
      </c>
      <c r="F31" s="7">
        <f t="shared" si="1"/>
        <v>9390.6160851229579</v>
      </c>
      <c r="G31" s="7">
        <f t="shared" si="2"/>
        <v>29876.13472931477</v>
      </c>
      <c r="I31" s="4">
        <f>$B$7-SUM($F$5:F31)-SUM($H$5:H31)</f>
        <v>3191623.8191986019</v>
      </c>
    </row>
    <row r="32" spans="4:9" x14ac:dyDescent="0.35">
      <c r="D32" s="8">
        <v>28</v>
      </c>
      <c r="E32" s="7">
        <f t="shared" si="0"/>
        <v>39266.750814437728</v>
      </c>
      <c r="F32" s="7">
        <f t="shared" si="1"/>
        <v>9478.2618352507707</v>
      </c>
      <c r="G32" s="7">
        <f t="shared" si="2"/>
        <v>29788.488979186957</v>
      </c>
      <c r="I32" s="4">
        <f>$B$7-SUM($F$5:F32)-SUM($H$5:H32)</f>
        <v>3182145.5573633513</v>
      </c>
    </row>
    <row r="33" spans="4:9" x14ac:dyDescent="0.35">
      <c r="D33" s="8">
        <v>29</v>
      </c>
      <c r="E33" s="7">
        <f t="shared" si="0"/>
        <v>39266.750814437728</v>
      </c>
      <c r="F33" s="7">
        <f t="shared" si="1"/>
        <v>9566.7256123797761</v>
      </c>
      <c r="G33" s="7">
        <f t="shared" si="2"/>
        <v>29700.02520205795</v>
      </c>
      <c r="I33" s="4">
        <f>$B$7-SUM($F$5:F33)-SUM($H$5:H33)</f>
        <v>3172578.8317509713</v>
      </c>
    </row>
    <row r="34" spans="4:9" x14ac:dyDescent="0.35">
      <c r="D34" s="8">
        <v>30</v>
      </c>
      <c r="E34" s="7">
        <f t="shared" si="0"/>
        <v>39266.750814437721</v>
      </c>
      <c r="F34" s="7">
        <f t="shared" si="1"/>
        <v>9656.0150514286524</v>
      </c>
      <c r="G34" s="7">
        <f t="shared" si="2"/>
        <v>29610.73576300907</v>
      </c>
      <c r="I34" s="4">
        <f>$B$7-SUM($F$5:F34)-SUM($H$5:H34)</f>
        <v>3162922.8166995426</v>
      </c>
    </row>
    <row r="35" spans="4:9" x14ac:dyDescent="0.35">
      <c r="D35" s="8">
        <v>31</v>
      </c>
      <c r="E35" s="7">
        <f t="shared" si="0"/>
        <v>39266.750814437721</v>
      </c>
      <c r="F35" s="7">
        <f t="shared" si="1"/>
        <v>9746.1378585753209</v>
      </c>
      <c r="G35" s="7">
        <f t="shared" si="2"/>
        <v>29520.612955862402</v>
      </c>
      <c r="I35" s="4">
        <f>$B$7-SUM($F$5:F35)-SUM($H$5:H35)</f>
        <v>3153176.6788409674</v>
      </c>
    </row>
    <row r="36" spans="4:9" x14ac:dyDescent="0.35">
      <c r="D36" s="8">
        <v>32</v>
      </c>
      <c r="E36" s="7">
        <f t="shared" si="0"/>
        <v>39266.750814437721</v>
      </c>
      <c r="F36" s="7">
        <f t="shared" si="1"/>
        <v>9837.1018119220244</v>
      </c>
      <c r="G36" s="7">
        <f t="shared" si="2"/>
        <v>29429.649002515696</v>
      </c>
      <c r="I36" s="4">
        <f>$B$7-SUM($F$5:F36)-SUM($H$5:H36)</f>
        <v>3143339.5770290457</v>
      </c>
    </row>
    <row r="37" spans="4:9" x14ac:dyDescent="0.35">
      <c r="D37" s="8">
        <v>33</v>
      </c>
      <c r="E37" s="7">
        <f t="shared" si="0"/>
        <v>39266.750814437728</v>
      </c>
      <c r="F37" s="7">
        <f t="shared" si="1"/>
        <v>9928.9147621666325</v>
      </c>
      <c r="G37" s="7">
        <f t="shared" si="2"/>
        <v>29337.836052271094</v>
      </c>
      <c r="I37" s="4">
        <f>$B$7-SUM($F$5:F37)-SUM($H$5:H37)</f>
        <v>3133410.6622668789</v>
      </c>
    </row>
    <row r="38" spans="4:9" x14ac:dyDescent="0.35">
      <c r="D38" s="8">
        <v>34</v>
      </c>
      <c r="E38" s="7">
        <f t="shared" si="0"/>
        <v>39266.750814437728</v>
      </c>
      <c r="F38" s="7">
        <f t="shared" si="1"/>
        <v>10021.584633280187</v>
      </c>
      <c r="G38" s="7">
        <f t="shared" si="2"/>
        <v>29245.16618115754</v>
      </c>
      <c r="I38" s="4">
        <f>$B$7-SUM($F$5:F38)-SUM($H$5:H38)</f>
        <v>3123389.0776335988</v>
      </c>
    </row>
    <row r="39" spans="4:9" x14ac:dyDescent="0.35">
      <c r="D39" s="8">
        <v>35</v>
      </c>
      <c r="E39" s="7">
        <f t="shared" si="0"/>
        <v>39266.750814437728</v>
      </c>
      <c r="F39" s="7">
        <f t="shared" si="1"/>
        <v>10115.119423190803</v>
      </c>
      <c r="G39" s="7">
        <f t="shared" si="2"/>
        <v>29151.631391246927</v>
      </c>
      <c r="I39" s="4">
        <f>$B$7-SUM($F$5:F39)-SUM($H$5:H39)</f>
        <v>3113273.9582104078</v>
      </c>
    </row>
    <row r="40" spans="4:9" x14ac:dyDescent="0.35">
      <c r="D40" s="8">
        <v>36</v>
      </c>
      <c r="E40" s="7">
        <f t="shared" si="0"/>
        <v>39266.750814437728</v>
      </c>
      <c r="F40" s="7">
        <f t="shared" si="1"/>
        <v>10209.527204473918</v>
      </c>
      <c r="G40" s="7">
        <f t="shared" si="2"/>
        <v>29057.22360996381</v>
      </c>
      <c r="I40" s="4">
        <f>$B$7-SUM($F$5:F40)-SUM($H$5:H40)</f>
        <v>3103064.4310059338</v>
      </c>
    </row>
    <row r="41" spans="4:9" x14ac:dyDescent="0.35">
      <c r="D41" s="8">
        <v>37</v>
      </c>
      <c r="E41" s="7">
        <f t="shared" si="0"/>
        <v>39266.750814437728</v>
      </c>
      <c r="F41" s="7">
        <f t="shared" si="1"/>
        <v>10304.816125049008</v>
      </c>
      <c r="G41" s="7">
        <f t="shared" si="2"/>
        <v>28961.93468938872</v>
      </c>
      <c r="I41" s="4">
        <f>$B$7-SUM($F$5:F41)-SUM($H$5:H41)</f>
        <v>3092759.614880885</v>
      </c>
    </row>
    <row r="42" spans="4:9" x14ac:dyDescent="0.35">
      <c r="D42" s="8">
        <v>38</v>
      </c>
      <c r="E42" s="7">
        <f t="shared" si="0"/>
        <v>39266.750814437728</v>
      </c>
      <c r="F42" s="7">
        <f t="shared" si="1"/>
        <v>10400.994408882796</v>
      </c>
      <c r="G42" s="7">
        <f t="shared" si="2"/>
        <v>28865.75640555493</v>
      </c>
      <c r="I42" s="4">
        <f>$B$7-SUM($F$5:F42)-SUM($H$5:H42)</f>
        <v>3082358.6204720018</v>
      </c>
    </row>
    <row r="43" spans="4:9" x14ac:dyDescent="0.35">
      <c r="D43" s="8">
        <v>39</v>
      </c>
      <c r="E43" s="7">
        <f t="shared" si="0"/>
        <v>39266.750814437721</v>
      </c>
      <c r="F43" s="7">
        <f t="shared" si="1"/>
        <v>10498.070356699032</v>
      </c>
      <c r="G43" s="7">
        <f t="shared" si="2"/>
        <v>28768.680457738687</v>
      </c>
      <c r="I43" s="4">
        <f>$B$7-SUM($F$5:F43)-SUM($H$5:H43)</f>
        <v>3071860.5501153031</v>
      </c>
    </row>
    <row r="44" spans="4:9" x14ac:dyDescent="0.35">
      <c r="D44" s="8">
        <v>40</v>
      </c>
      <c r="E44" s="7">
        <f t="shared" si="0"/>
        <v>39266.750814437721</v>
      </c>
      <c r="F44" s="7">
        <f t="shared" si="1"/>
        <v>10596.052346694889</v>
      </c>
      <c r="G44" s="7">
        <f t="shared" si="2"/>
        <v>28670.698467742834</v>
      </c>
      <c r="I44" s="4">
        <f>$B$7-SUM($F$5:F44)-SUM($H$5:H44)</f>
        <v>3061264.4977686079</v>
      </c>
    </row>
    <row r="45" spans="4:9" x14ac:dyDescent="0.35">
      <c r="D45" s="8">
        <v>41</v>
      </c>
      <c r="E45" s="7">
        <f t="shared" si="0"/>
        <v>39266.750814437721</v>
      </c>
      <c r="F45" s="7">
        <f t="shared" si="1"/>
        <v>10694.948835264044</v>
      </c>
      <c r="G45" s="7">
        <f t="shared" si="2"/>
        <v>28571.801979173677</v>
      </c>
      <c r="I45" s="4">
        <f>$B$7-SUM($F$5:F45)-SUM($H$5:H45)</f>
        <v>3050569.548933344</v>
      </c>
    </row>
    <row r="46" spans="4:9" x14ac:dyDescent="0.35">
      <c r="D46" s="8">
        <v>42</v>
      </c>
      <c r="E46" s="7">
        <f t="shared" si="0"/>
        <v>39266.750814437721</v>
      </c>
      <c r="F46" s="7">
        <f t="shared" si="1"/>
        <v>10794.768357726507</v>
      </c>
      <c r="G46" s="7">
        <f t="shared" si="2"/>
        <v>28471.982456711215</v>
      </c>
      <c r="I46" s="4">
        <f>$B$7-SUM($F$5:F46)-SUM($H$5:H46)</f>
        <v>3039774.7805756177</v>
      </c>
    </row>
    <row r="47" spans="4:9" x14ac:dyDescent="0.35">
      <c r="D47" s="8">
        <v>43</v>
      </c>
      <c r="E47" s="7">
        <f t="shared" si="0"/>
        <v>39266.750814437721</v>
      </c>
      <c r="F47" s="7">
        <f t="shared" si="1"/>
        <v>10895.51952906529</v>
      </c>
      <c r="G47" s="7">
        <f t="shared" si="2"/>
        <v>28371.231285372429</v>
      </c>
      <c r="I47" s="4">
        <f>$B$7-SUM($F$5:F47)-SUM($H$5:H47)</f>
        <v>3028879.2610465521</v>
      </c>
    </row>
    <row r="48" spans="4:9" x14ac:dyDescent="0.35">
      <c r="D48" s="8">
        <v>44</v>
      </c>
      <c r="E48" s="7">
        <f t="shared" si="0"/>
        <v>39266.750814437721</v>
      </c>
      <c r="F48" s="7">
        <f t="shared" si="1"/>
        <v>10997.211044669899</v>
      </c>
      <c r="G48" s="7">
        <f t="shared" si="2"/>
        <v>28269.53976976782</v>
      </c>
      <c r="I48" s="4">
        <f>$B$7-SUM($F$5:F48)-SUM($H$5:H48)</f>
        <v>3017882.0500018825</v>
      </c>
    </row>
    <row r="49" spans="4:9" x14ac:dyDescent="0.35">
      <c r="D49" s="8">
        <v>45</v>
      </c>
      <c r="E49" s="7">
        <f t="shared" si="0"/>
        <v>39266.750814437721</v>
      </c>
      <c r="F49" s="7">
        <f t="shared" si="1"/>
        <v>11099.851681086819</v>
      </c>
      <c r="G49" s="7">
        <f t="shared" si="2"/>
        <v>28166.899133350904</v>
      </c>
      <c r="I49" s="4">
        <f>$B$7-SUM($F$5:F49)-SUM($H$5:H49)</f>
        <v>3006782.1983207958</v>
      </c>
    </row>
    <row r="50" spans="4:9" x14ac:dyDescent="0.35">
      <c r="D50" s="8">
        <v>46</v>
      </c>
      <c r="E50" s="7">
        <f t="shared" si="0"/>
        <v>39266.750814437728</v>
      </c>
      <c r="F50" s="7">
        <f t="shared" si="1"/>
        <v>11203.450296776962</v>
      </c>
      <c r="G50" s="7">
        <f t="shared" si="2"/>
        <v>28063.300517660766</v>
      </c>
      <c r="I50" s="4">
        <f>$B$7-SUM($F$5:F50)-SUM($H$5:H50)</f>
        <v>2995578.7480240185</v>
      </c>
    </row>
    <row r="51" spans="4:9" x14ac:dyDescent="0.35">
      <c r="D51" s="8">
        <v>47</v>
      </c>
      <c r="E51" s="7">
        <f t="shared" si="0"/>
        <v>39266.750814437721</v>
      </c>
      <c r="F51" s="7">
        <f t="shared" si="1"/>
        <v>11308.015832880214</v>
      </c>
      <c r="G51" s="7">
        <f t="shared" si="2"/>
        <v>27958.734981557507</v>
      </c>
      <c r="I51" s="4">
        <f>$B$7-SUM($F$5:F51)-SUM($H$5:H51)</f>
        <v>2984270.7321911384</v>
      </c>
    </row>
    <row r="52" spans="4:9" x14ac:dyDescent="0.35">
      <c r="D52" s="8">
        <v>48</v>
      </c>
      <c r="E52" s="7">
        <f t="shared" si="0"/>
        <v>39266.750814437721</v>
      </c>
      <c r="F52" s="7">
        <f t="shared" si="1"/>
        <v>11413.557313987096</v>
      </c>
      <c r="G52" s="7">
        <f t="shared" si="2"/>
        <v>27853.193500450623</v>
      </c>
      <c r="I52" s="4">
        <f>$B$7-SUM($F$5:F52)-SUM($H$5:H52)</f>
        <v>2972857.1748771514</v>
      </c>
    </row>
    <row r="53" spans="4:9" x14ac:dyDescent="0.35">
      <c r="D53" s="8">
        <v>49</v>
      </c>
      <c r="E53" s="7">
        <f t="shared" si="0"/>
        <v>39266.750814437728</v>
      </c>
      <c r="F53" s="7">
        <f t="shared" si="1"/>
        <v>11520.083848917644</v>
      </c>
      <c r="G53" s="7">
        <f t="shared" si="2"/>
        <v>27746.666965520082</v>
      </c>
      <c r="I53" s="4">
        <f>$B$7-SUM($F$5:F53)-SUM($H$5:H53)</f>
        <v>2961337.0910282335</v>
      </c>
    </row>
    <row r="54" spans="4:9" x14ac:dyDescent="0.35">
      <c r="D54" s="8">
        <v>50</v>
      </c>
      <c r="E54" s="7">
        <f t="shared" si="0"/>
        <v>39266.750814437721</v>
      </c>
      <c r="F54" s="7">
        <f t="shared" si="1"/>
        <v>11627.604631507538</v>
      </c>
      <c r="G54" s="7">
        <f t="shared" si="2"/>
        <v>27639.146182930184</v>
      </c>
      <c r="I54" s="4">
        <f>$B$7-SUM($F$5:F54)-SUM($H$5:H54)</f>
        <v>2949709.4863967262</v>
      </c>
    </row>
    <row r="55" spans="4:9" x14ac:dyDescent="0.35">
      <c r="D55" s="8">
        <v>51</v>
      </c>
      <c r="E55" s="7">
        <f t="shared" si="0"/>
        <v>39266.750814437728</v>
      </c>
      <c r="F55" s="7">
        <f t="shared" si="1"/>
        <v>11736.128941401612</v>
      </c>
      <c r="G55" s="7">
        <f t="shared" si="2"/>
        <v>27530.621873036114</v>
      </c>
      <c r="I55" s="4">
        <f>$B$7-SUM($F$5:F55)-SUM($H$5:H55)</f>
        <v>2937973.3574553244</v>
      </c>
    </row>
    <row r="56" spans="4:9" x14ac:dyDescent="0.35">
      <c r="D56" s="8">
        <v>52</v>
      </c>
      <c r="E56" s="7">
        <f t="shared" si="0"/>
        <v>39266.750814437721</v>
      </c>
      <c r="F56" s="7">
        <f t="shared" si="1"/>
        <v>11845.666144854691</v>
      </c>
      <c r="G56" s="7">
        <f t="shared" si="2"/>
        <v>27421.08466958303</v>
      </c>
      <c r="I56" s="4">
        <f>$B$7-SUM($F$5:F56)-SUM($H$5:H56)</f>
        <v>2926127.69131047</v>
      </c>
    </row>
    <row r="57" spans="4:9" x14ac:dyDescent="0.35">
      <c r="D57" s="8">
        <v>53</v>
      </c>
      <c r="E57" s="7">
        <f t="shared" si="0"/>
        <v>39266.750814437728</v>
      </c>
      <c r="F57" s="7">
        <f t="shared" si="1"/>
        <v>11956.225695540004</v>
      </c>
      <c r="G57" s="7">
        <f t="shared" si="2"/>
        <v>27310.525118897724</v>
      </c>
      <c r="I57" s="4">
        <f>$B$7-SUM($F$5:F57)-SUM($H$5:H57)</f>
        <v>2914171.4656149298</v>
      </c>
    </row>
    <row r="58" spans="4:9" x14ac:dyDescent="0.35">
      <c r="D58" s="8">
        <v>54</v>
      </c>
      <c r="E58" s="7">
        <f t="shared" si="0"/>
        <v>39266.750814437721</v>
      </c>
      <c r="F58" s="7">
        <f t="shared" si="1"/>
        <v>12067.817135365041</v>
      </c>
      <c r="G58" s="7">
        <f t="shared" si="2"/>
        <v>27198.933679072681</v>
      </c>
      <c r="I58" s="4">
        <f>$B$7-SUM($F$5:F58)-SUM($H$5:H58)</f>
        <v>2902103.648479565</v>
      </c>
    </row>
    <row r="59" spans="4:9" x14ac:dyDescent="0.35">
      <c r="D59" s="8">
        <v>55</v>
      </c>
      <c r="E59" s="7">
        <f t="shared" si="0"/>
        <v>39266.750814437728</v>
      </c>
      <c r="F59" s="7">
        <f t="shared" si="1"/>
        <v>12180.450095295118</v>
      </c>
      <c r="G59" s="7">
        <f t="shared" si="2"/>
        <v>27086.300719142608</v>
      </c>
      <c r="I59" s="4">
        <f>$B$7-SUM($F$5:F59)-SUM($H$5:H59)</f>
        <v>2889923.1983842696</v>
      </c>
    </row>
    <row r="60" spans="4:9" x14ac:dyDescent="0.35">
      <c r="D60" s="8">
        <v>56</v>
      </c>
      <c r="E60" s="7">
        <f t="shared" si="0"/>
        <v>39266.750814437721</v>
      </c>
      <c r="F60" s="7">
        <f t="shared" si="1"/>
        <v>12294.134296184537</v>
      </c>
      <c r="G60" s="7">
        <f t="shared" si="2"/>
        <v>26972.616518253184</v>
      </c>
      <c r="I60" s="4">
        <f>$B$7-SUM($F$5:F60)-SUM($H$5:H60)</f>
        <v>2877629.0640880852</v>
      </c>
    </row>
    <row r="61" spans="4:9" x14ac:dyDescent="0.35">
      <c r="D61" s="8">
        <v>57</v>
      </c>
      <c r="E61" s="7">
        <f t="shared" si="0"/>
        <v>39266.750814437721</v>
      </c>
      <c r="F61" s="7">
        <f t="shared" si="1"/>
        <v>12408.879549615593</v>
      </c>
      <c r="G61" s="7">
        <f t="shared" si="2"/>
        <v>26857.871264822126</v>
      </c>
      <c r="I61" s="4">
        <f>$B$7-SUM($F$5:F61)-SUM($H$5:H61)</f>
        <v>2865220.1845384696</v>
      </c>
    </row>
    <row r="62" spans="4:9" x14ac:dyDescent="0.35">
      <c r="D62" s="8">
        <v>58</v>
      </c>
      <c r="E62" s="7">
        <f t="shared" si="0"/>
        <v>39266.750814437728</v>
      </c>
      <c r="F62" s="7">
        <f t="shared" si="1"/>
        <v>12524.695758745338</v>
      </c>
      <c r="G62" s="7">
        <f t="shared" si="2"/>
        <v>26742.055055692392</v>
      </c>
      <c r="I62" s="4">
        <f>$B$7-SUM($F$5:F62)-SUM($H$5:H62)</f>
        <v>2852695.4887797246</v>
      </c>
    </row>
    <row r="63" spans="4:9" x14ac:dyDescent="0.35">
      <c r="D63" s="8">
        <v>59</v>
      </c>
      <c r="E63" s="7">
        <f t="shared" si="0"/>
        <v>39266.750814437728</v>
      </c>
      <c r="F63" s="7">
        <f t="shared" si="1"/>
        <v>12641.592919160295</v>
      </c>
      <c r="G63" s="7">
        <f t="shared" si="2"/>
        <v>26625.157895277433</v>
      </c>
      <c r="I63" s="4">
        <f>$B$7-SUM($F$5:F63)-SUM($H$5:H63)</f>
        <v>2840053.895860564</v>
      </c>
    </row>
    <row r="64" spans="4:9" x14ac:dyDescent="0.35">
      <c r="D64" s="8">
        <v>60</v>
      </c>
      <c r="E64" s="7">
        <f t="shared" si="0"/>
        <v>39266.750814437721</v>
      </c>
      <c r="F64" s="7">
        <f t="shared" si="1"/>
        <v>12759.581119739123</v>
      </c>
      <c r="G64" s="7">
        <f t="shared" si="2"/>
        <v>26507.169694698598</v>
      </c>
      <c r="I64" s="4">
        <f>$B$7-SUM($F$5:F64)-SUM($H$5:H64)</f>
        <v>2827294.314740825</v>
      </c>
    </row>
    <row r="65" spans="4:9" x14ac:dyDescent="0.35">
      <c r="D65" s="8">
        <v>61</v>
      </c>
      <c r="E65" s="7">
        <f t="shared" si="0"/>
        <v>39266.750814437721</v>
      </c>
      <c r="F65" s="7">
        <f t="shared" si="1"/>
        <v>12878.670543523354</v>
      </c>
      <c r="G65" s="7">
        <f t="shared" si="2"/>
        <v>26388.080270914368</v>
      </c>
      <c r="I65" s="4">
        <f>$B$7-SUM($F$5:F65)-SUM($H$5:H65)</f>
        <v>2814415.6441973015</v>
      </c>
    </row>
    <row r="66" spans="4:9" x14ac:dyDescent="0.35">
      <c r="D66" s="8">
        <v>62</v>
      </c>
      <c r="E66" s="7">
        <f t="shared" si="0"/>
        <v>39266.750814437721</v>
      </c>
      <c r="F66" s="7">
        <f t="shared" si="1"/>
        <v>12998.871468596239</v>
      </c>
      <c r="G66" s="7">
        <f t="shared" si="2"/>
        <v>26267.87934584148</v>
      </c>
      <c r="I66" s="4">
        <f>$B$7-SUM($F$5:F66)-SUM($H$5:H66)</f>
        <v>2801416.7727287053</v>
      </c>
    </row>
    <row r="67" spans="4:9" x14ac:dyDescent="0.35">
      <c r="D67" s="8">
        <v>63</v>
      </c>
      <c r="E67" s="7">
        <f t="shared" si="0"/>
        <v>39266.750814437721</v>
      </c>
      <c r="F67" s="7">
        <f t="shared" si="1"/>
        <v>13120.194268969804</v>
      </c>
      <c r="G67" s="7">
        <f t="shared" si="2"/>
        <v>26146.556545467916</v>
      </c>
      <c r="I67" s="4">
        <f>$B$7-SUM($F$5:F67)-SUM($H$5:H67)</f>
        <v>2788296.5784597355</v>
      </c>
    </row>
    <row r="68" spans="4:9" x14ac:dyDescent="0.35">
      <c r="D68" s="8">
        <v>64</v>
      </c>
      <c r="E68" s="7">
        <f t="shared" si="0"/>
        <v>39266.750814437728</v>
      </c>
      <c r="F68" s="7">
        <f t="shared" si="1"/>
        <v>13242.649415480195</v>
      </c>
      <c r="G68" s="7">
        <f t="shared" si="2"/>
        <v>26024.101398957533</v>
      </c>
      <c r="I68" s="4">
        <f>$B$7-SUM($F$5:F68)-SUM($H$5:H68)</f>
        <v>2775053.9290442551</v>
      </c>
    </row>
    <row r="69" spans="4:9" x14ac:dyDescent="0.35">
      <c r="D69" s="8">
        <v>65</v>
      </c>
      <c r="E69" s="7">
        <f t="shared" si="0"/>
        <v>39266.750814437728</v>
      </c>
      <c r="F69" s="7">
        <f t="shared" si="1"/>
        <v>13366.247476691344</v>
      </c>
      <c r="G69" s="7">
        <f t="shared" si="2"/>
        <v>25900.503337746384</v>
      </c>
      <c r="I69" s="4">
        <f>$B$7-SUM($F$5:F69)-SUM($H$5:H69)</f>
        <v>2761687.6815675637</v>
      </c>
    </row>
    <row r="70" spans="4:9" x14ac:dyDescent="0.35">
      <c r="D70" s="8">
        <v>66</v>
      </c>
      <c r="E70" s="7">
        <f t="shared" ref="E70:E133" si="3">-PMT($B$8/12,$B$9*12-D70+1,IF(D70=1,$B$7,I69))</f>
        <v>39266.750814437721</v>
      </c>
      <c r="F70" s="7">
        <f t="shared" ref="F70:F133" si="4">-PPMT($B$8/12,1,$B$9*12-D70+1,IF(D70=1,$B$7,I69))</f>
        <v>13490.999119807126</v>
      </c>
      <c r="G70" s="7">
        <f t="shared" ref="G70:G133" si="5">E70-F70</f>
        <v>25775.751694630595</v>
      </c>
      <c r="I70" s="4">
        <f>$B$7-SUM($F$5:F70)-SUM($H$5:H70)</f>
        <v>2748196.6824477566</v>
      </c>
    </row>
    <row r="71" spans="4:9" x14ac:dyDescent="0.35">
      <c r="D71" s="8">
        <v>67</v>
      </c>
      <c r="E71" s="7">
        <f t="shared" si="3"/>
        <v>39266.750814437728</v>
      </c>
      <c r="F71" s="7">
        <f t="shared" si="4"/>
        <v>13616.915111591996</v>
      </c>
      <c r="G71" s="7">
        <f t="shared" si="5"/>
        <v>25649.835702845732</v>
      </c>
      <c r="I71" s="4">
        <f>$B$7-SUM($F$5:F71)-SUM($H$5:H71)</f>
        <v>2734579.7673361646</v>
      </c>
    </row>
    <row r="72" spans="4:9" x14ac:dyDescent="0.35">
      <c r="D72" s="8">
        <v>68</v>
      </c>
      <c r="E72" s="7">
        <f t="shared" si="3"/>
        <v>39266.750814437721</v>
      </c>
      <c r="F72" s="7">
        <f t="shared" si="4"/>
        <v>13744.006319300181</v>
      </c>
      <c r="G72" s="7">
        <f t="shared" si="5"/>
        <v>25522.74449513754</v>
      </c>
      <c r="I72" s="4">
        <f>$B$7-SUM($F$5:F72)-SUM($H$5:H72)</f>
        <v>2720835.7610168643</v>
      </c>
    </row>
    <row r="73" spans="4:9" x14ac:dyDescent="0.35">
      <c r="D73" s="8">
        <v>69</v>
      </c>
      <c r="E73" s="7">
        <f t="shared" si="3"/>
        <v>39266.750814437721</v>
      </c>
      <c r="F73" s="7">
        <f t="shared" si="4"/>
        <v>13872.283711613651</v>
      </c>
      <c r="G73" s="7">
        <f t="shared" si="5"/>
        <v>25394.46710282407</v>
      </c>
      <c r="I73" s="4">
        <f>$B$7-SUM($F$5:F73)-SUM($H$5:H73)</f>
        <v>2706963.4773052512</v>
      </c>
    </row>
    <row r="74" spans="4:9" x14ac:dyDescent="0.35">
      <c r="D74" s="8">
        <v>70</v>
      </c>
      <c r="E74" s="7">
        <f t="shared" si="3"/>
        <v>39266.750814437721</v>
      </c>
      <c r="F74" s="7">
        <f t="shared" si="4"/>
        <v>14001.75835958871</v>
      </c>
      <c r="G74" s="7">
        <f t="shared" si="5"/>
        <v>25264.992454849009</v>
      </c>
      <c r="I74" s="4">
        <f>$B$7-SUM($F$5:F74)-SUM($H$5:H74)</f>
        <v>2692961.7189456625</v>
      </c>
    </row>
    <row r="75" spans="4:9" x14ac:dyDescent="0.35">
      <c r="D75" s="8">
        <v>71</v>
      </c>
      <c r="E75" s="7">
        <f t="shared" si="3"/>
        <v>39266.750814437728</v>
      </c>
      <c r="F75" s="7">
        <f t="shared" si="4"/>
        <v>14132.441437611542</v>
      </c>
      <c r="G75" s="7">
        <f t="shared" si="5"/>
        <v>25134.309376826186</v>
      </c>
      <c r="I75" s="4">
        <f>$B$7-SUM($F$5:F75)-SUM($H$5:H75)</f>
        <v>2678829.2775080507</v>
      </c>
    </row>
    <row r="76" spans="4:9" x14ac:dyDescent="0.35">
      <c r="D76" s="8">
        <v>72</v>
      </c>
      <c r="E76" s="7">
        <f t="shared" si="3"/>
        <v>39266.750814437728</v>
      </c>
      <c r="F76" s="7">
        <f t="shared" si="4"/>
        <v>14264.344224362583</v>
      </c>
      <c r="G76" s="7">
        <f t="shared" si="5"/>
        <v>25002.406590075145</v>
      </c>
      <c r="I76" s="4">
        <f>$B$7-SUM($F$5:F76)-SUM($H$5:H76)</f>
        <v>2664564.933283688</v>
      </c>
    </row>
    <row r="77" spans="4:9" x14ac:dyDescent="0.35">
      <c r="D77" s="8">
        <v>73</v>
      </c>
      <c r="E77" s="7">
        <f t="shared" si="3"/>
        <v>39266.750814437728</v>
      </c>
      <c r="F77" s="7">
        <f t="shared" si="4"/>
        <v>14397.478103789968</v>
      </c>
      <c r="G77" s="7">
        <f t="shared" si="5"/>
        <v>24869.272710647761</v>
      </c>
      <c r="I77" s="4">
        <f>$B$7-SUM($F$5:F77)-SUM($H$5:H77)</f>
        <v>2650167.4551798981</v>
      </c>
    </row>
    <row r="78" spans="4:9" x14ac:dyDescent="0.35">
      <c r="D78" s="8">
        <v>74</v>
      </c>
      <c r="E78" s="7">
        <f t="shared" si="3"/>
        <v>39266.750814437728</v>
      </c>
      <c r="F78" s="7">
        <f t="shared" si="4"/>
        <v>14531.854566092008</v>
      </c>
      <c r="G78" s="7">
        <f t="shared" si="5"/>
        <v>24734.896248345722</v>
      </c>
      <c r="I78" s="4">
        <f>$B$7-SUM($F$5:F78)-SUM($H$5:H78)</f>
        <v>2635635.6006138059</v>
      </c>
    </row>
    <row r="79" spans="4:9" x14ac:dyDescent="0.35">
      <c r="D79" s="8">
        <v>75</v>
      </c>
      <c r="E79" s="7">
        <f t="shared" si="3"/>
        <v>39266.750814437728</v>
      </c>
      <c r="F79" s="7">
        <f t="shared" si="4"/>
        <v>14667.485208708868</v>
      </c>
      <c r="G79" s="7">
        <f t="shared" si="5"/>
        <v>24599.265605728862</v>
      </c>
      <c r="I79" s="4">
        <f>$B$7-SUM($F$5:F79)-SUM($H$5:H79)</f>
        <v>2620968.1154050971</v>
      </c>
    </row>
    <row r="80" spans="4:9" x14ac:dyDescent="0.35">
      <c r="D80" s="8">
        <v>76</v>
      </c>
      <c r="E80" s="7">
        <f t="shared" si="3"/>
        <v>39266.750814437721</v>
      </c>
      <c r="F80" s="7">
        <f t="shared" si="4"/>
        <v>14804.38173732348</v>
      </c>
      <c r="G80" s="7">
        <f t="shared" si="5"/>
        <v>24462.369077114243</v>
      </c>
      <c r="I80" s="4">
        <f>$B$7-SUM($F$5:F80)-SUM($H$5:H80)</f>
        <v>2606163.7336677737</v>
      </c>
    </row>
    <row r="81" spans="4:9" x14ac:dyDescent="0.35">
      <c r="D81" s="8">
        <v>77</v>
      </c>
      <c r="E81" s="7">
        <f t="shared" si="3"/>
        <v>39266.750814437728</v>
      </c>
      <c r="F81" s="7">
        <f t="shared" si="4"/>
        <v>14942.555966871834</v>
      </c>
      <c r="G81" s="7">
        <f t="shared" si="5"/>
        <v>24324.194847565894</v>
      </c>
      <c r="I81" s="4">
        <f>$B$7-SUM($F$5:F81)-SUM($H$5:H81)</f>
        <v>2591221.1777009019</v>
      </c>
    </row>
    <row r="82" spans="4:9" x14ac:dyDescent="0.35">
      <c r="D82" s="8">
        <v>78</v>
      </c>
      <c r="E82" s="7">
        <f t="shared" si="3"/>
        <v>39266.750814437728</v>
      </c>
      <c r="F82" s="7">
        <f t="shared" si="4"/>
        <v>15082.019822562637</v>
      </c>
      <c r="G82" s="7">
        <f t="shared" si="5"/>
        <v>24184.730991875091</v>
      </c>
      <c r="I82" s="4">
        <f>$B$7-SUM($F$5:F82)-SUM($H$5:H82)</f>
        <v>2576139.1578783393</v>
      </c>
    </row>
    <row r="83" spans="4:9" x14ac:dyDescent="0.35">
      <c r="D83" s="8">
        <v>79</v>
      </c>
      <c r="E83" s="7">
        <f t="shared" si="3"/>
        <v>39266.750814437728</v>
      </c>
      <c r="F83" s="7">
        <f t="shared" si="4"/>
        <v>15222.785340906557</v>
      </c>
      <c r="G83" s="7">
        <f t="shared" si="5"/>
        <v>24043.965473531171</v>
      </c>
      <c r="I83" s="4">
        <f>$B$7-SUM($F$5:F83)-SUM($H$5:H83)</f>
        <v>2560916.3725374327</v>
      </c>
    </row>
    <row r="84" spans="4:9" x14ac:dyDescent="0.35">
      <c r="D84" s="8">
        <v>80</v>
      </c>
      <c r="E84" s="7">
        <f t="shared" si="3"/>
        <v>39266.750814437721</v>
      </c>
      <c r="F84" s="7">
        <f t="shared" si="4"/>
        <v>15364.864670755014</v>
      </c>
      <c r="G84" s="7">
        <f t="shared" si="5"/>
        <v>23901.886143682706</v>
      </c>
      <c r="I84" s="4">
        <f>$B$7-SUM($F$5:F84)-SUM($H$5:H84)</f>
        <v>2545551.5078666778</v>
      </c>
    </row>
    <row r="85" spans="4:9" x14ac:dyDescent="0.35">
      <c r="D85" s="8">
        <v>81</v>
      </c>
      <c r="E85" s="7">
        <f t="shared" si="3"/>
        <v>39266.750814437728</v>
      </c>
      <c r="F85" s="7">
        <f t="shared" si="4"/>
        <v>15508.270074348731</v>
      </c>
      <c r="G85" s="7">
        <f t="shared" si="5"/>
        <v>23758.480740088999</v>
      </c>
      <c r="I85" s="4">
        <f>$B$7-SUM($F$5:F85)-SUM($H$5:H85)</f>
        <v>2530043.2377923289</v>
      </c>
    </row>
    <row r="86" spans="4:9" x14ac:dyDescent="0.35">
      <c r="D86" s="8">
        <v>82</v>
      </c>
      <c r="E86" s="7">
        <f t="shared" si="3"/>
        <v>39266.750814437721</v>
      </c>
      <c r="F86" s="7">
        <f t="shared" si="4"/>
        <v>15653.013928375984</v>
      </c>
      <c r="G86" s="7">
        <f t="shared" si="5"/>
        <v>23613.736886061735</v>
      </c>
      <c r="I86" s="4">
        <f>$B$7-SUM($F$5:F86)-SUM($H$5:H86)</f>
        <v>2514390.2238639528</v>
      </c>
    </row>
    <row r="87" spans="4:9" x14ac:dyDescent="0.35">
      <c r="D87" s="8">
        <v>83</v>
      </c>
      <c r="E87" s="7">
        <f t="shared" si="3"/>
        <v>39266.750814437728</v>
      </c>
      <c r="F87" s="7">
        <f t="shared" si="4"/>
        <v>15799.108725040829</v>
      </c>
      <c r="G87" s="7">
        <f t="shared" si="5"/>
        <v>23467.642089396897</v>
      </c>
      <c r="I87" s="4">
        <f>$B$7-SUM($F$5:F87)-SUM($H$5:H87)</f>
        <v>2498591.1151389121</v>
      </c>
    </row>
    <row r="88" spans="4:9" x14ac:dyDescent="0.35">
      <c r="D88" s="8">
        <v>84</v>
      </c>
      <c r="E88" s="7">
        <f t="shared" si="3"/>
        <v>39266.750814437721</v>
      </c>
      <c r="F88" s="7">
        <f t="shared" si="4"/>
        <v>15946.567073141206</v>
      </c>
      <c r="G88" s="7">
        <f t="shared" si="5"/>
        <v>23320.183741296514</v>
      </c>
      <c r="I88" s="4">
        <f>$B$7-SUM($F$5:F88)-SUM($H$5:H88)</f>
        <v>2482644.5480657709</v>
      </c>
    </row>
    <row r="89" spans="4:9" x14ac:dyDescent="0.35">
      <c r="D89" s="8">
        <v>85</v>
      </c>
      <c r="E89" s="7">
        <f t="shared" si="3"/>
        <v>39266.750814437728</v>
      </c>
      <c r="F89" s="7">
        <f t="shared" si="4"/>
        <v>16095.401699157195</v>
      </c>
      <c r="G89" s="7">
        <f t="shared" si="5"/>
        <v>23171.349115280533</v>
      </c>
      <c r="I89" s="4">
        <f>$B$7-SUM($F$5:F89)-SUM($H$5:H89)</f>
        <v>2466549.1463666139</v>
      </c>
    </row>
    <row r="90" spans="4:9" x14ac:dyDescent="0.35">
      <c r="D90" s="8">
        <v>86</v>
      </c>
      <c r="E90" s="7">
        <f t="shared" si="3"/>
        <v>39266.750814437728</v>
      </c>
      <c r="F90" s="7">
        <f t="shared" si="4"/>
        <v>16245.625448349327</v>
      </c>
      <c r="G90" s="7">
        <f t="shared" si="5"/>
        <v>23021.125366088403</v>
      </c>
      <c r="I90" s="4">
        <f>$B$7-SUM($F$5:F90)-SUM($H$5:H90)</f>
        <v>2450303.5209182645</v>
      </c>
    </row>
    <row r="91" spans="4:9" x14ac:dyDescent="0.35">
      <c r="D91" s="8">
        <v>87</v>
      </c>
      <c r="E91" s="7">
        <f t="shared" si="3"/>
        <v>39266.750814437721</v>
      </c>
      <c r="F91" s="7">
        <f t="shared" si="4"/>
        <v>16397.251285867253</v>
      </c>
      <c r="G91" s="7">
        <f t="shared" si="5"/>
        <v>22869.499528570468</v>
      </c>
      <c r="I91" s="4">
        <f>$B$7-SUM($F$5:F91)-SUM($H$5:H91)</f>
        <v>2433906.2696323972</v>
      </c>
    </row>
    <row r="92" spans="4:9" x14ac:dyDescent="0.35">
      <c r="D92" s="8">
        <v>88</v>
      </c>
      <c r="E92" s="7">
        <f t="shared" si="3"/>
        <v>39266.750814437728</v>
      </c>
      <c r="F92" s="7">
        <f t="shared" si="4"/>
        <v>16550.292297868684</v>
      </c>
      <c r="G92" s="7">
        <f t="shared" si="5"/>
        <v>22716.458516569044</v>
      </c>
      <c r="I92" s="4">
        <f>$B$7-SUM($F$5:F92)-SUM($H$5:H92)</f>
        <v>2417355.9773345282</v>
      </c>
    </row>
    <row r="93" spans="4:9" x14ac:dyDescent="0.35">
      <c r="D93" s="8">
        <v>89</v>
      </c>
      <c r="E93" s="7">
        <f t="shared" si="3"/>
        <v>39266.750814437713</v>
      </c>
      <c r="F93" s="7">
        <f t="shared" si="4"/>
        <v>16704.761692648786</v>
      </c>
      <c r="G93" s="7">
        <f t="shared" si="5"/>
        <v>22561.989121788927</v>
      </c>
      <c r="I93" s="4">
        <f>$B$7-SUM($F$5:F93)-SUM($H$5:H93)</f>
        <v>2400651.2156418795</v>
      </c>
    </row>
    <row r="94" spans="4:9" x14ac:dyDescent="0.35">
      <c r="D94" s="8">
        <v>90</v>
      </c>
      <c r="E94" s="7">
        <f t="shared" si="3"/>
        <v>39266.750814437713</v>
      </c>
      <c r="F94" s="7">
        <f t="shared" si="4"/>
        <v>16860.672801780172</v>
      </c>
      <c r="G94" s="7">
        <f t="shared" si="5"/>
        <v>22406.078012657541</v>
      </c>
      <c r="I94" s="4">
        <f>$B$7-SUM($F$5:F94)-SUM($H$5:H94)</f>
        <v>2383790.5428400994</v>
      </c>
    </row>
    <row r="95" spans="4:9" x14ac:dyDescent="0.35">
      <c r="D95" s="8">
        <v>91</v>
      </c>
      <c r="E95" s="7">
        <f t="shared" si="3"/>
        <v>39266.750814437721</v>
      </c>
      <c r="F95" s="7">
        <f t="shared" si="4"/>
        <v>17018.039081263458</v>
      </c>
      <c r="G95" s="7">
        <f t="shared" si="5"/>
        <v>22248.711733174263</v>
      </c>
      <c r="I95" s="4">
        <f>$B$7-SUM($F$5:F95)-SUM($H$5:H95)</f>
        <v>2366772.5037588361</v>
      </c>
    </row>
    <row r="96" spans="4:9" x14ac:dyDescent="0.35">
      <c r="D96" s="8">
        <v>92</v>
      </c>
      <c r="E96" s="7">
        <f t="shared" si="3"/>
        <v>39266.750814437721</v>
      </c>
      <c r="F96" s="7">
        <f t="shared" si="4"/>
        <v>17176.874112688583</v>
      </c>
      <c r="G96" s="7">
        <f t="shared" si="5"/>
        <v>22089.876701749137</v>
      </c>
      <c r="I96" s="4">
        <f>$B$7-SUM($F$5:F96)-SUM($H$5:H96)</f>
        <v>2349595.6296461476</v>
      </c>
    </row>
    <row r="97" spans="4:9" x14ac:dyDescent="0.35">
      <c r="D97" s="8">
        <v>93</v>
      </c>
      <c r="E97" s="7">
        <f t="shared" si="3"/>
        <v>39266.750814437728</v>
      </c>
      <c r="F97" s="7">
        <f t="shared" si="4"/>
        <v>17337.191604407017</v>
      </c>
      <c r="G97" s="7">
        <f t="shared" si="5"/>
        <v>21929.559210030711</v>
      </c>
      <c r="I97" s="4">
        <f>$B$7-SUM($F$5:F97)-SUM($H$5:H97)</f>
        <v>2332258.4380417406</v>
      </c>
    </row>
    <row r="98" spans="4:9" x14ac:dyDescent="0.35">
      <c r="D98" s="8">
        <v>94</v>
      </c>
      <c r="E98" s="7">
        <f t="shared" si="3"/>
        <v>39266.750814437728</v>
      </c>
      <c r="F98" s="7">
        <f t="shared" si="4"/>
        <v>17499.005392714811</v>
      </c>
      <c r="G98" s="7">
        <f t="shared" si="5"/>
        <v>21767.745421722917</v>
      </c>
      <c r="I98" s="4">
        <f>$B$7-SUM($F$5:F98)-SUM($H$5:H98)</f>
        <v>2314759.4326490257</v>
      </c>
    </row>
    <row r="99" spans="4:9" x14ac:dyDescent="0.35">
      <c r="D99" s="8">
        <v>95</v>
      </c>
      <c r="E99" s="7">
        <f t="shared" si="3"/>
        <v>39266.750814437721</v>
      </c>
      <c r="F99" s="7">
        <f t="shared" si="4"/>
        <v>17662.329443046812</v>
      </c>
      <c r="G99" s="7">
        <f t="shared" si="5"/>
        <v>21604.421371390908</v>
      </c>
      <c r="I99" s="4">
        <f>$B$7-SUM($F$5:F99)-SUM($H$5:H99)</f>
        <v>2297097.1032059789</v>
      </c>
    </row>
    <row r="100" spans="4:9" x14ac:dyDescent="0.35">
      <c r="D100" s="8">
        <v>96</v>
      </c>
      <c r="E100" s="7">
        <f t="shared" si="3"/>
        <v>39266.750814437721</v>
      </c>
      <c r="F100" s="7">
        <f t="shared" si="4"/>
        <v>17827.177851181918</v>
      </c>
      <c r="G100" s="7">
        <f t="shared" si="5"/>
        <v>21439.572963255803</v>
      </c>
      <c r="I100" s="4">
        <f>$B$7-SUM($F$5:F100)-SUM($H$5:H100)</f>
        <v>2279269.9253547969</v>
      </c>
    </row>
    <row r="101" spans="4:9" x14ac:dyDescent="0.35">
      <c r="D101" s="8">
        <v>97</v>
      </c>
      <c r="E101" s="7">
        <f t="shared" si="3"/>
        <v>39266.750814437728</v>
      </c>
      <c r="F101" s="7">
        <f t="shared" si="4"/>
        <v>17993.564844459619</v>
      </c>
      <c r="G101" s="7">
        <f t="shared" si="5"/>
        <v>21273.185969978109</v>
      </c>
      <c r="I101" s="4">
        <f>$B$7-SUM($F$5:F101)-SUM($H$5:H101)</f>
        <v>2261276.3605103372</v>
      </c>
    </row>
    <row r="102" spans="4:9" x14ac:dyDescent="0.35">
      <c r="D102" s="8">
        <v>98</v>
      </c>
      <c r="E102" s="7">
        <f t="shared" si="3"/>
        <v>39266.750814437728</v>
      </c>
      <c r="F102" s="7">
        <f t="shared" si="4"/>
        <v>18161.504783007909</v>
      </c>
      <c r="G102" s="7">
        <f t="shared" si="5"/>
        <v>21105.246031429819</v>
      </c>
      <c r="I102" s="4">
        <f>$B$7-SUM($F$5:F102)-SUM($H$5:H102)</f>
        <v>2243114.8557273294</v>
      </c>
    </row>
    <row r="103" spans="4:9" x14ac:dyDescent="0.35">
      <c r="D103" s="8">
        <v>99</v>
      </c>
      <c r="E103" s="7">
        <f t="shared" si="3"/>
        <v>39266.750814437728</v>
      </c>
      <c r="F103" s="7">
        <f t="shared" si="4"/>
        <v>18331.012160982649</v>
      </c>
      <c r="G103" s="7">
        <f t="shared" si="5"/>
        <v>20935.738653455079</v>
      </c>
      <c r="I103" s="4">
        <f>$B$7-SUM($F$5:F103)-SUM($H$5:H103)</f>
        <v>2224783.8435663469</v>
      </c>
    </row>
    <row r="104" spans="4:9" x14ac:dyDescent="0.35">
      <c r="D104" s="8">
        <v>100</v>
      </c>
      <c r="E104" s="7">
        <f t="shared" si="3"/>
        <v>39266.750814437721</v>
      </c>
      <c r="F104" s="7">
        <f t="shared" si="4"/>
        <v>18502.10160781848</v>
      </c>
      <c r="G104" s="7">
        <f t="shared" si="5"/>
        <v>20764.64920661924</v>
      </c>
      <c r="I104" s="4">
        <f>$B$7-SUM($F$5:F104)-SUM($H$5:H104)</f>
        <v>2206281.7419585283</v>
      </c>
    </row>
    <row r="105" spans="4:9" x14ac:dyDescent="0.35">
      <c r="D105" s="8">
        <v>101</v>
      </c>
      <c r="E105" s="7">
        <f t="shared" si="3"/>
        <v>39266.750814437728</v>
      </c>
      <c r="F105" s="7">
        <f t="shared" si="4"/>
        <v>18674.787889491457</v>
      </c>
      <c r="G105" s="7">
        <f t="shared" si="5"/>
        <v>20591.962924946271</v>
      </c>
      <c r="I105" s="4">
        <f>$B$7-SUM($F$5:F105)-SUM($H$5:H105)</f>
        <v>2187606.954069037</v>
      </c>
    </row>
    <row r="106" spans="4:9" x14ac:dyDescent="0.35">
      <c r="D106" s="8">
        <v>102</v>
      </c>
      <c r="E106" s="7">
        <f t="shared" si="3"/>
        <v>39266.750814437728</v>
      </c>
      <c r="F106" s="7">
        <f t="shared" si="4"/>
        <v>18849.085909793383</v>
      </c>
      <c r="G106" s="7">
        <f t="shared" si="5"/>
        <v>20417.664904644345</v>
      </c>
      <c r="I106" s="4">
        <f>$B$7-SUM($F$5:F106)-SUM($H$5:H106)</f>
        <v>2168757.8681592434</v>
      </c>
    </row>
    <row r="107" spans="4:9" x14ac:dyDescent="0.35">
      <c r="D107" s="8">
        <v>103</v>
      </c>
      <c r="E107" s="7">
        <f t="shared" si="3"/>
        <v>39266.750814437728</v>
      </c>
      <c r="F107" s="7">
        <f t="shared" si="4"/>
        <v>19025.010711618121</v>
      </c>
      <c r="G107" s="7">
        <f t="shared" si="5"/>
        <v>20241.740102819607</v>
      </c>
      <c r="I107" s="4">
        <f>$B$7-SUM($F$5:F107)-SUM($H$5:H107)</f>
        <v>2149732.8574476251</v>
      </c>
    </row>
    <row r="108" spans="4:9" x14ac:dyDescent="0.35">
      <c r="D108" s="8">
        <v>104</v>
      </c>
      <c r="E108" s="7">
        <f t="shared" si="3"/>
        <v>39266.750814437721</v>
      </c>
      <c r="F108" s="7">
        <f t="shared" si="4"/>
        <v>19202.577478259882</v>
      </c>
      <c r="G108" s="7">
        <f t="shared" si="5"/>
        <v>20064.173336177839</v>
      </c>
      <c r="I108" s="4">
        <f>$B$7-SUM($F$5:F108)-SUM($H$5:H108)</f>
        <v>2130530.2799693653</v>
      </c>
    </row>
    <row r="109" spans="4:9" x14ac:dyDescent="0.35">
      <c r="D109" s="8">
        <v>105</v>
      </c>
      <c r="E109" s="7">
        <f t="shared" si="3"/>
        <v>39266.750814437721</v>
      </c>
      <c r="F109" s="7">
        <f t="shared" si="4"/>
        <v>19381.80153472364</v>
      </c>
      <c r="G109" s="7">
        <f t="shared" si="5"/>
        <v>19884.949279714081</v>
      </c>
      <c r="I109" s="4">
        <f>$B$7-SUM($F$5:F109)-SUM($H$5:H109)</f>
        <v>2111148.4784346418</v>
      </c>
    </row>
    <row r="110" spans="4:9" x14ac:dyDescent="0.35">
      <c r="D110" s="8">
        <v>106</v>
      </c>
      <c r="E110" s="7">
        <f t="shared" si="3"/>
        <v>39266.750814437728</v>
      </c>
      <c r="F110" s="7">
        <f t="shared" si="4"/>
        <v>19562.698349047732</v>
      </c>
      <c r="G110" s="7">
        <f t="shared" si="5"/>
        <v>19704.052465389996</v>
      </c>
      <c r="I110" s="4">
        <f>$B$7-SUM($F$5:F110)-SUM($H$5:H110)</f>
        <v>2091585.7800855939</v>
      </c>
    </row>
    <row r="111" spans="4:9" x14ac:dyDescent="0.35">
      <c r="D111" s="8">
        <v>107</v>
      </c>
      <c r="E111" s="7">
        <f t="shared" si="3"/>
        <v>39266.750814437728</v>
      </c>
      <c r="F111" s="7">
        <f t="shared" si="4"/>
        <v>19745.283533638845</v>
      </c>
      <c r="G111" s="7">
        <f t="shared" si="5"/>
        <v>19521.467280798883</v>
      </c>
      <c r="I111" s="4">
        <f>$B$7-SUM($F$5:F111)-SUM($H$5:H111)</f>
        <v>2071840.4965519551</v>
      </c>
    </row>
    <row r="112" spans="4:9" x14ac:dyDescent="0.35">
      <c r="D112" s="8">
        <v>108</v>
      </c>
      <c r="E112" s="7">
        <f t="shared" si="3"/>
        <v>39266.750814437721</v>
      </c>
      <c r="F112" s="7">
        <f t="shared" si="4"/>
        <v>19929.572846619471</v>
      </c>
      <c r="G112" s="7">
        <f t="shared" si="5"/>
        <v>19337.17796781825</v>
      </c>
      <c r="I112" s="4">
        <f>$B$7-SUM($F$5:F112)-SUM($H$5:H112)</f>
        <v>2051910.9237053357</v>
      </c>
    </row>
    <row r="113" spans="4:9" x14ac:dyDescent="0.35">
      <c r="D113" s="8">
        <v>109</v>
      </c>
      <c r="E113" s="7">
        <f t="shared" si="3"/>
        <v>39266.750814437728</v>
      </c>
      <c r="F113" s="7">
        <f t="shared" si="4"/>
        <v>20115.582193187922</v>
      </c>
      <c r="G113" s="7">
        <f t="shared" si="5"/>
        <v>19151.168621249806</v>
      </c>
      <c r="I113" s="4">
        <f>$B$7-SUM($F$5:F113)-SUM($H$5:H113)</f>
        <v>2031795.3415121478</v>
      </c>
    </row>
    <row r="114" spans="4:9" x14ac:dyDescent="0.35">
      <c r="D114" s="8">
        <v>110</v>
      </c>
      <c r="E114" s="7">
        <f t="shared" si="3"/>
        <v>39266.750814437721</v>
      </c>
      <c r="F114" s="7">
        <f t="shared" si="4"/>
        <v>20303.327626991009</v>
      </c>
      <c r="G114" s="7">
        <f t="shared" si="5"/>
        <v>18963.423187446711</v>
      </c>
      <c r="I114" s="4">
        <f>$B$7-SUM($F$5:F114)-SUM($H$5:H114)</f>
        <v>2011492.0138851567</v>
      </c>
    </row>
    <row r="115" spans="4:9" x14ac:dyDescent="0.35">
      <c r="D115" s="8">
        <v>111</v>
      </c>
      <c r="E115" s="7">
        <f t="shared" si="3"/>
        <v>39266.750814437721</v>
      </c>
      <c r="F115" s="7">
        <f t="shared" si="4"/>
        <v>20492.825351509589</v>
      </c>
      <c r="G115" s="7">
        <f t="shared" si="5"/>
        <v>18773.925462928131</v>
      </c>
      <c r="I115" s="4">
        <f>$B$7-SUM($F$5:F115)-SUM($H$5:H115)</f>
        <v>1990999.1885336472</v>
      </c>
    </row>
    <row r="116" spans="4:9" x14ac:dyDescent="0.35">
      <c r="D116" s="8">
        <v>112</v>
      </c>
      <c r="E116" s="7">
        <f t="shared" si="3"/>
        <v>39266.750814437721</v>
      </c>
      <c r="F116" s="7">
        <f t="shared" si="4"/>
        <v>20684.091721457011</v>
      </c>
      <c r="G116" s="7">
        <f t="shared" si="5"/>
        <v>18582.65909298071</v>
      </c>
      <c r="I116" s="4">
        <f>$B$7-SUM($F$5:F116)-SUM($H$5:H116)</f>
        <v>1970315.0968121903</v>
      </c>
    </row>
    <row r="117" spans="4:9" x14ac:dyDescent="0.35">
      <c r="D117" s="8">
        <v>113</v>
      </c>
      <c r="E117" s="7">
        <f t="shared" si="3"/>
        <v>39266.750814437721</v>
      </c>
      <c r="F117" s="7">
        <f t="shared" si="4"/>
        <v>20877.143244190614</v>
      </c>
      <c r="G117" s="7">
        <f t="shared" si="5"/>
        <v>18389.607570247106</v>
      </c>
      <c r="I117" s="4">
        <f>$B$7-SUM($F$5:F117)-SUM($H$5:H117)</f>
        <v>1949437.9535679996</v>
      </c>
    </row>
    <row r="118" spans="4:9" x14ac:dyDescent="0.35">
      <c r="D118" s="8">
        <v>114</v>
      </c>
      <c r="E118" s="7">
        <f t="shared" si="3"/>
        <v>39266.750814437728</v>
      </c>
      <c r="F118" s="7">
        <f t="shared" si="4"/>
        <v>21071.996581136395</v>
      </c>
      <c r="G118" s="7">
        <f t="shared" si="5"/>
        <v>18194.754233301333</v>
      </c>
      <c r="I118" s="4">
        <f>$B$7-SUM($F$5:F118)-SUM($H$5:H118)</f>
        <v>1928365.9569868632</v>
      </c>
    </row>
    <row r="119" spans="4:9" x14ac:dyDescent="0.35">
      <c r="D119" s="8">
        <v>115</v>
      </c>
      <c r="E119" s="7">
        <f t="shared" si="3"/>
        <v>39266.750814437728</v>
      </c>
      <c r="F119" s="7">
        <f t="shared" si="4"/>
        <v>21268.668549227001</v>
      </c>
      <c r="G119" s="7">
        <f t="shared" si="5"/>
        <v>17998.082265210727</v>
      </c>
      <c r="I119" s="4">
        <f>$B$7-SUM($F$5:F119)-SUM($H$5:H119)</f>
        <v>1907097.2884376361</v>
      </c>
    </row>
    <row r="120" spans="4:9" x14ac:dyDescent="0.35">
      <c r="D120" s="8">
        <v>116</v>
      </c>
      <c r="E120" s="7">
        <f t="shared" si="3"/>
        <v>39266.750814437713</v>
      </c>
      <c r="F120" s="7">
        <f t="shared" si="4"/>
        <v>21467.17612235311</v>
      </c>
      <c r="G120" s="7">
        <f t="shared" si="5"/>
        <v>17799.574692084603</v>
      </c>
      <c r="I120" s="4">
        <f>$B$7-SUM($F$5:F120)-SUM($H$5:H120)</f>
        <v>1885630.1123152829</v>
      </c>
    </row>
    <row r="121" spans="4:9" x14ac:dyDescent="0.35">
      <c r="D121" s="8">
        <v>117</v>
      </c>
      <c r="E121" s="7">
        <f t="shared" si="3"/>
        <v>39266.750814437728</v>
      </c>
      <c r="F121" s="7">
        <f t="shared" si="4"/>
        <v>21667.536432828416</v>
      </c>
      <c r="G121" s="7">
        <f t="shared" si="5"/>
        <v>17599.214381609312</v>
      </c>
      <c r="I121" s="4">
        <f>$B$7-SUM($F$5:F121)-SUM($H$5:H121)</f>
        <v>1863962.5758824544</v>
      </c>
    </row>
    <row r="122" spans="4:9" x14ac:dyDescent="0.35">
      <c r="D122" s="8">
        <v>118</v>
      </c>
      <c r="E122" s="7">
        <f t="shared" si="3"/>
        <v>39266.750814437721</v>
      </c>
      <c r="F122" s="7">
        <f t="shared" si="4"/>
        <v>21869.766772868144</v>
      </c>
      <c r="G122" s="7">
        <f t="shared" si="5"/>
        <v>17396.984041569576</v>
      </c>
      <c r="I122" s="4">
        <f>$B$7-SUM($F$5:F122)-SUM($H$5:H122)</f>
        <v>1842092.8091095863</v>
      </c>
    </row>
    <row r="123" spans="4:9" x14ac:dyDescent="0.35">
      <c r="D123" s="8">
        <v>119</v>
      </c>
      <c r="E123" s="7">
        <f t="shared" si="3"/>
        <v>39266.750814437721</v>
      </c>
      <c r="F123" s="7">
        <f t="shared" si="4"/>
        <v>22073.884596081578</v>
      </c>
      <c r="G123" s="7">
        <f t="shared" si="5"/>
        <v>17192.866218356143</v>
      </c>
      <c r="I123" s="4">
        <f>$B$7-SUM($F$5:F123)-SUM($H$5:H123)</f>
        <v>1820018.9245135046</v>
      </c>
    </row>
    <row r="124" spans="4:9" x14ac:dyDescent="0.35">
      <c r="D124" s="8">
        <v>120</v>
      </c>
      <c r="E124" s="7">
        <f t="shared" si="3"/>
        <v>39266.750814437713</v>
      </c>
      <c r="F124" s="7">
        <f t="shared" si="4"/>
        <v>22279.907518978336</v>
      </c>
      <c r="G124" s="7">
        <f t="shared" si="5"/>
        <v>16986.843295459377</v>
      </c>
      <c r="I124" s="4">
        <f>$B$7-SUM($F$5:F124)-SUM($H$5:H124)</f>
        <v>1797739.0169945264</v>
      </c>
    </row>
    <row r="125" spans="4:9" x14ac:dyDescent="0.35">
      <c r="D125" s="8">
        <v>121</v>
      </c>
      <c r="E125" s="7">
        <f t="shared" si="3"/>
        <v>39266.750814437721</v>
      </c>
      <c r="F125" s="7">
        <f t="shared" si="4"/>
        <v>22487.853322488801</v>
      </c>
      <c r="G125" s="7">
        <f t="shared" si="5"/>
        <v>16778.897491948919</v>
      </c>
      <c r="I125" s="4">
        <f>$B$7-SUM($F$5:F125)-SUM($H$5:H125)</f>
        <v>1775251.1636720377</v>
      </c>
    </row>
    <row r="126" spans="4:9" x14ac:dyDescent="0.35">
      <c r="D126" s="8">
        <v>122</v>
      </c>
      <c r="E126" s="7">
        <f t="shared" si="3"/>
        <v>39266.750814437721</v>
      </c>
      <c r="F126" s="7">
        <f t="shared" si="4"/>
        <v>22697.739953498702</v>
      </c>
      <c r="G126" s="7">
        <f t="shared" si="5"/>
        <v>16569.010860939019</v>
      </c>
      <c r="I126" s="4">
        <f>$B$7-SUM($F$5:F126)-SUM($H$5:H126)</f>
        <v>1752553.4237185391</v>
      </c>
    </row>
    <row r="127" spans="4:9" x14ac:dyDescent="0.35">
      <c r="D127" s="8">
        <v>123</v>
      </c>
      <c r="E127" s="7">
        <f t="shared" si="3"/>
        <v>39266.750814437728</v>
      </c>
      <c r="F127" s="7">
        <f t="shared" si="4"/>
        <v>22909.585526398023</v>
      </c>
      <c r="G127" s="7">
        <f t="shared" si="5"/>
        <v>16357.165288039705</v>
      </c>
      <c r="I127" s="4">
        <f>$B$7-SUM($F$5:F127)-SUM($H$5:H127)</f>
        <v>1729643.8381921411</v>
      </c>
    </row>
    <row r="128" spans="4:9" x14ac:dyDescent="0.35">
      <c r="D128" s="8">
        <v>124</v>
      </c>
      <c r="E128" s="7">
        <f t="shared" si="3"/>
        <v>39266.750814437728</v>
      </c>
      <c r="F128" s="7">
        <f t="shared" si="4"/>
        <v>23123.40832464441</v>
      </c>
      <c r="G128" s="7">
        <f t="shared" si="5"/>
        <v>16143.342489793318</v>
      </c>
      <c r="I128" s="4">
        <f>$B$7-SUM($F$5:F128)-SUM($H$5:H128)</f>
        <v>1706520.4298674967</v>
      </c>
    </row>
    <row r="129" spans="4:9" x14ac:dyDescent="0.35">
      <c r="D129" s="8">
        <v>125</v>
      </c>
      <c r="E129" s="7">
        <f t="shared" si="3"/>
        <v>39266.750814437721</v>
      </c>
      <c r="F129" s="7">
        <f t="shared" si="4"/>
        <v>23339.226802341083</v>
      </c>
      <c r="G129" s="7">
        <f t="shared" si="5"/>
        <v>15927.524012096637</v>
      </c>
      <c r="I129" s="4">
        <f>$B$7-SUM($F$5:F129)-SUM($H$5:H129)</f>
        <v>1683181.2030651555</v>
      </c>
    </row>
    <row r="130" spans="4:9" x14ac:dyDescent="0.35">
      <c r="D130" s="8">
        <v>126</v>
      </c>
      <c r="E130" s="7">
        <f t="shared" si="3"/>
        <v>39266.750814437721</v>
      </c>
      <c r="F130" s="7">
        <f t="shared" si="4"/>
        <v>23557.0595858296</v>
      </c>
      <c r="G130" s="7">
        <f t="shared" si="5"/>
        <v>15709.691228608121</v>
      </c>
      <c r="I130" s="4">
        <f>$B$7-SUM($F$5:F130)-SUM($H$5:H130)</f>
        <v>1659624.143479326</v>
      </c>
    </row>
    <row r="131" spans="4:9" x14ac:dyDescent="0.35">
      <c r="D131" s="8">
        <v>127</v>
      </c>
      <c r="E131" s="7">
        <f t="shared" si="3"/>
        <v>39266.750814437728</v>
      </c>
      <c r="F131" s="7">
        <f t="shared" si="4"/>
        <v>23776.925475297347</v>
      </c>
      <c r="G131" s="7">
        <f t="shared" si="5"/>
        <v>15489.825339140381</v>
      </c>
      <c r="I131" s="4">
        <f>$B$7-SUM($F$5:F131)-SUM($H$5:H131)</f>
        <v>1635847.2180040288</v>
      </c>
    </row>
    <row r="132" spans="4:9" x14ac:dyDescent="0.35">
      <c r="D132" s="8">
        <v>128</v>
      </c>
      <c r="E132" s="7">
        <f t="shared" si="3"/>
        <v>39266.750814437728</v>
      </c>
      <c r="F132" s="7">
        <f t="shared" si="4"/>
        <v>23998.843446400126</v>
      </c>
      <c r="G132" s="7">
        <f t="shared" si="5"/>
        <v>15267.907368037602</v>
      </c>
      <c r="I132" s="4">
        <f>$B$7-SUM($F$5:F132)-SUM($H$5:H132)</f>
        <v>1611848.3745576288</v>
      </c>
    </row>
    <row r="133" spans="4:9" x14ac:dyDescent="0.35">
      <c r="D133" s="8">
        <v>129</v>
      </c>
      <c r="E133" s="7">
        <f t="shared" si="3"/>
        <v>39266.750814437728</v>
      </c>
      <c r="F133" s="7">
        <f t="shared" si="4"/>
        <v>24222.832651899858</v>
      </c>
      <c r="G133" s="7">
        <f t="shared" si="5"/>
        <v>15043.91816253787</v>
      </c>
      <c r="I133" s="4">
        <f>$B$7-SUM($F$5:F133)-SUM($H$5:H133)</f>
        <v>1587625.5419057289</v>
      </c>
    </row>
    <row r="134" spans="4:9" x14ac:dyDescent="0.35">
      <c r="D134" s="8">
        <v>130</v>
      </c>
      <c r="E134" s="7">
        <f t="shared" ref="E134:E197" si="6">-PMT($B$8/12,$B$9*12-D134+1,IF(D134=1,$B$7,I133))</f>
        <v>39266.750814437728</v>
      </c>
      <c r="F134" s="7">
        <f t="shared" ref="F134:F197" si="7">-PPMT($B$8/12,1,$B$9*12-D134+1,IF(D134=1,$B$7,I133))</f>
        <v>24448.91242331759</v>
      </c>
      <c r="G134" s="7">
        <f t="shared" ref="G134:G197" si="8">E134-F134</f>
        <v>14817.838391120138</v>
      </c>
      <c r="I134" s="4">
        <f>$B$7-SUM($F$5:F134)-SUM($H$5:H134)</f>
        <v>1563176.6294824113</v>
      </c>
    </row>
    <row r="135" spans="4:9" x14ac:dyDescent="0.35">
      <c r="D135" s="8">
        <v>131</v>
      </c>
      <c r="E135" s="7">
        <f t="shared" si="6"/>
        <v>39266.750814437728</v>
      </c>
      <c r="F135" s="7">
        <f t="shared" si="7"/>
        <v>24677.102272601889</v>
      </c>
      <c r="G135" s="7">
        <f t="shared" si="8"/>
        <v>14589.648541835839</v>
      </c>
      <c r="I135" s="4">
        <f>$B$7-SUM($F$5:F135)-SUM($H$5:H135)</f>
        <v>1538499.5272098095</v>
      </c>
    </row>
    <row r="136" spans="4:9" x14ac:dyDescent="0.35">
      <c r="D136" s="8">
        <v>132</v>
      </c>
      <c r="E136" s="7">
        <f t="shared" si="6"/>
        <v>39266.750814437728</v>
      </c>
      <c r="F136" s="7">
        <f t="shared" si="7"/>
        <v>24907.421893812843</v>
      </c>
      <c r="G136" s="7">
        <f t="shared" si="8"/>
        <v>14359.328920624885</v>
      </c>
      <c r="I136" s="4">
        <f>$B$7-SUM($F$5:F136)-SUM($H$5:H136)</f>
        <v>1513592.1053159966</v>
      </c>
    </row>
    <row r="137" spans="4:9" x14ac:dyDescent="0.35">
      <c r="D137" s="8">
        <v>133</v>
      </c>
      <c r="E137" s="7">
        <f t="shared" si="6"/>
        <v>39266.750814437735</v>
      </c>
      <c r="F137" s="7">
        <f t="shared" si="7"/>
        <v>25139.891164821765</v>
      </c>
      <c r="G137" s="7">
        <f t="shared" si="8"/>
        <v>14126.85964961597</v>
      </c>
      <c r="I137" s="4">
        <f>$B$7-SUM($F$5:F137)-SUM($H$5:H137)</f>
        <v>1488452.2141511748</v>
      </c>
    </row>
    <row r="138" spans="4:9" x14ac:dyDescent="0.35">
      <c r="D138" s="8">
        <v>134</v>
      </c>
      <c r="E138" s="7">
        <f t="shared" si="6"/>
        <v>39266.750814437728</v>
      </c>
      <c r="F138" s="7">
        <f t="shared" si="7"/>
        <v>25374.530149026763</v>
      </c>
      <c r="G138" s="7">
        <f t="shared" si="8"/>
        <v>13892.220665410965</v>
      </c>
      <c r="I138" s="4">
        <f>$B$7-SUM($F$5:F138)-SUM($H$5:H138)</f>
        <v>1463077.684002148</v>
      </c>
    </row>
    <row r="139" spans="4:9" x14ac:dyDescent="0.35">
      <c r="D139" s="8">
        <v>135</v>
      </c>
      <c r="E139" s="7">
        <f t="shared" si="6"/>
        <v>39266.750814437728</v>
      </c>
      <c r="F139" s="7">
        <f t="shared" si="7"/>
        <v>25611.359097084347</v>
      </c>
      <c r="G139" s="7">
        <f t="shared" si="8"/>
        <v>13655.391717353381</v>
      </c>
      <c r="I139" s="4">
        <f>$B$7-SUM($F$5:F139)-SUM($H$5:H139)</f>
        <v>1437466.3249050637</v>
      </c>
    </row>
    <row r="140" spans="4:9" x14ac:dyDescent="0.35">
      <c r="D140" s="8">
        <v>136</v>
      </c>
      <c r="E140" s="7">
        <f t="shared" si="6"/>
        <v>39266.750814437728</v>
      </c>
      <c r="F140" s="7">
        <f t="shared" si="7"/>
        <v>25850.398448657135</v>
      </c>
      <c r="G140" s="7">
        <f t="shared" si="8"/>
        <v>13416.352365780593</v>
      </c>
      <c r="I140" s="4">
        <f>$B$7-SUM($F$5:F140)-SUM($H$5:H140)</f>
        <v>1411615.9264564065</v>
      </c>
    </row>
    <row r="141" spans="4:9" x14ac:dyDescent="0.35">
      <c r="D141" s="8">
        <v>137</v>
      </c>
      <c r="E141" s="7">
        <f t="shared" si="6"/>
        <v>39266.750814437728</v>
      </c>
      <c r="F141" s="7">
        <f t="shared" si="7"/>
        <v>26091.668834177934</v>
      </c>
      <c r="G141" s="7">
        <f t="shared" si="8"/>
        <v>13175.081980259794</v>
      </c>
      <c r="I141" s="4">
        <f>$B$7-SUM($F$5:F141)-SUM($H$5:H141)</f>
        <v>1385524.2576222285</v>
      </c>
    </row>
    <row r="142" spans="4:9" x14ac:dyDescent="0.35">
      <c r="D142" s="8">
        <v>138</v>
      </c>
      <c r="E142" s="7">
        <f t="shared" si="6"/>
        <v>39266.750814437721</v>
      </c>
      <c r="F142" s="7">
        <f t="shared" si="7"/>
        <v>26335.191076630254</v>
      </c>
      <c r="G142" s="7">
        <f t="shared" si="8"/>
        <v>12931.559737807467</v>
      </c>
      <c r="I142" s="4">
        <f>$B$7-SUM($F$5:F142)-SUM($H$5:H142)</f>
        <v>1359189.0665455982</v>
      </c>
    </row>
    <row r="143" spans="4:9" x14ac:dyDescent="0.35">
      <c r="D143" s="8">
        <v>139</v>
      </c>
      <c r="E143" s="7">
        <f t="shared" si="6"/>
        <v>39266.750814437721</v>
      </c>
      <c r="F143" s="7">
        <f t="shared" si="7"/>
        <v>26580.986193345474</v>
      </c>
      <c r="G143" s="7">
        <f t="shared" si="8"/>
        <v>12685.764621092247</v>
      </c>
      <c r="I143" s="4">
        <f>$B$7-SUM($F$5:F143)-SUM($H$5:H143)</f>
        <v>1332608.0803522528</v>
      </c>
    </row>
    <row r="144" spans="4:9" x14ac:dyDescent="0.35">
      <c r="D144" s="8">
        <v>140</v>
      </c>
      <c r="E144" s="7">
        <f t="shared" si="6"/>
        <v>39266.750814437728</v>
      </c>
      <c r="F144" s="7">
        <f t="shared" si="7"/>
        <v>26829.075397816701</v>
      </c>
      <c r="G144" s="7">
        <f t="shared" si="8"/>
        <v>12437.675416621027</v>
      </c>
      <c r="I144" s="4">
        <f>$B$7-SUM($F$5:F144)-SUM($H$5:H144)</f>
        <v>1305779.0049544363</v>
      </c>
    </row>
    <row r="145" spans="4:9" x14ac:dyDescent="0.35">
      <c r="D145" s="8">
        <v>141</v>
      </c>
      <c r="E145" s="7">
        <f t="shared" si="6"/>
        <v>39266.750814437728</v>
      </c>
      <c r="F145" s="7">
        <f t="shared" si="7"/>
        <v>27079.480101529658</v>
      </c>
      <c r="G145" s="7">
        <f t="shared" si="8"/>
        <v>12187.27071290807</v>
      </c>
      <c r="I145" s="4">
        <f>$B$7-SUM($F$5:F145)-SUM($H$5:H145)</f>
        <v>1278699.5248529068</v>
      </c>
    </row>
    <row r="146" spans="4:9" x14ac:dyDescent="0.35">
      <c r="D146" s="8">
        <v>142</v>
      </c>
      <c r="E146" s="7">
        <f t="shared" si="6"/>
        <v>39266.750814437735</v>
      </c>
      <c r="F146" s="7">
        <f t="shared" si="7"/>
        <v>27332.221915810605</v>
      </c>
      <c r="G146" s="7">
        <f t="shared" si="8"/>
        <v>11934.52889862713</v>
      </c>
      <c r="I146" s="4">
        <f>$B$7-SUM($F$5:F146)-SUM($H$5:H146)</f>
        <v>1251367.302937096</v>
      </c>
    </row>
    <row r="147" spans="4:9" x14ac:dyDescent="0.35">
      <c r="D147" s="8">
        <v>143</v>
      </c>
      <c r="E147" s="7">
        <f t="shared" si="6"/>
        <v>39266.750814437728</v>
      </c>
      <c r="F147" s="7">
        <f t="shared" si="7"/>
        <v>27587.322653691499</v>
      </c>
      <c r="G147" s="7">
        <f t="shared" si="8"/>
        <v>11679.428160746229</v>
      </c>
      <c r="I147" s="4">
        <f>$B$7-SUM($F$5:F147)-SUM($H$5:H147)</f>
        <v>1223779.9802834047</v>
      </c>
    </row>
    <row r="148" spans="4:9" x14ac:dyDescent="0.35">
      <c r="D148" s="8">
        <v>144</v>
      </c>
      <c r="E148" s="7">
        <f t="shared" si="6"/>
        <v>39266.750814437735</v>
      </c>
      <c r="F148" s="7">
        <f t="shared" si="7"/>
        <v>27844.804331792624</v>
      </c>
      <c r="G148" s="7">
        <f t="shared" si="8"/>
        <v>11421.946482645111</v>
      </c>
      <c r="I148" s="4">
        <f>$B$7-SUM($F$5:F148)-SUM($H$5:H148)</f>
        <v>1195935.1759516122</v>
      </c>
    </row>
    <row r="149" spans="4:9" x14ac:dyDescent="0.35">
      <c r="D149" s="8">
        <v>145</v>
      </c>
      <c r="E149" s="7">
        <f t="shared" si="6"/>
        <v>39266.750814437735</v>
      </c>
      <c r="F149" s="7">
        <f t="shared" si="7"/>
        <v>28104.689172222694</v>
      </c>
      <c r="G149" s="7">
        <f t="shared" si="8"/>
        <v>11162.061642215042</v>
      </c>
      <c r="I149" s="4">
        <f>$B$7-SUM($F$5:F149)-SUM($H$5:H149)</f>
        <v>1167830.4867793894</v>
      </c>
    </row>
    <row r="150" spans="4:9" x14ac:dyDescent="0.35">
      <c r="D150" s="8">
        <v>146</v>
      </c>
      <c r="E150" s="7">
        <f t="shared" si="6"/>
        <v>39266.750814437735</v>
      </c>
      <c r="F150" s="7">
        <f t="shared" si="7"/>
        <v>28366.999604496767</v>
      </c>
      <c r="G150" s="7">
        <f t="shared" si="8"/>
        <v>10899.751209940969</v>
      </c>
      <c r="I150" s="4">
        <f>$B$7-SUM($F$5:F150)-SUM($H$5:H150)</f>
        <v>1139463.4871748928</v>
      </c>
    </row>
    <row r="151" spans="4:9" x14ac:dyDescent="0.35">
      <c r="D151" s="8">
        <v>147</v>
      </c>
      <c r="E151" s="7">
        <f t="shared" si="6"/>
        <v>39266.750814437743</v>
      </c>
      <c r="F151" s="7">
        <f t="shared" si="7"/>
        <v>28631.75826747208</v>
      </c>
      <c r="G151" s="7">
        <f t="shared" si="8"/>
        <v>10634.992546965663</v>
      </c>
      <c r="I151" s="4">
        <f>$B$7-SUM($F$5:F151)-SUM($H$5:H151)</f>
        <v>1110831.7289074208</v>
      </c>
    </row>
    <row r="152" spans="4:9" x14ac:dyDescent="0.35">
      <c r="D152" s="8">
        <v>148</v>
      </c>
      <c r="E152" s="7">
        <f t="shared" si="6"/>
        <v>39266.750814437743</v>
      </c>
      <c r="F152" s="7">
        <f t="shared" si="7"/>
        <v>28898.988011301819</v>
      </c>
      <c r="G152" s="7">
        <f t="shared" si="8"/>
        <v>10367.762803135924</v>
      </c>
      <c r="I152" s="4">
        <f>$B$7-SUM($F$5:F152)-SUM($H$5:H152)</f>
        <v>1081932.7408961188</v>
      </c>
    </row>
    <row r="153" spans="4:9" x14ac:dyDescent="0.35">
      <c r="D153" s="8">
        <v>149</v>
      </c>
      <c r="E153" s="7">
        <f t="shared" si="6"/>
        <v>39266.750814437743</v>
      </c>
      <c r="F153" s="7">
        <f t="shared" si="7"/>
        <v>29168.711899407303</v>
      </c>
      <c r="G153" s="7">
        <f t="shared" si="8"/>
        <v>10098.03891503044</v>
      </c>
      <c r="I153" s="4">
        <f>$B$7-SUM($F$5:F153)-SUM($H$5:H153)</f>
        <v>1052764.0289967116</v>
      </c>
    </row>
    <row r="154" spans="4:9" x14ac:dyDescent="0.35">
      <c r="D154" s="8">
        <v>150</v>
      </c>
      <c r="E154" s="7">
        <f t="shared" si="6"/>
        <v>39266.750814437743</v>
      </c>
      <c r="F154" s="7">
        <f t="shared" si="7"/>
        <v>29440.95321046844</v>
      </c>
      <c r="G154" s="7">
        <f t="shared" si="8"/>
        <v>9825.7976039693021</v>
      </c>
      <c r="I154" s="4">
        <f>$B$7-SUM($F$5:F154)-SUM($H$5:H154)</f>
        <v>1023323.0757862432</v>
      </c>
    </row>
    <row r="155" spans="4:9" x14ac:dyDescent="0.35">
      <c r="D155" s="8">
        <v>151</v>
      </c>
      <c r="E155" s="7">
        <f t="shared" si="6"/>
        <v>39266.750814437735</v>
      </c>
      <c r="F155" s="7">
        <f t="shared" si="7"/>
        <v>29715.7354404328</v>
      </c>
      <c r="G155" s="7">
        <f t="shared" si="8"/>
        <v>9551.0153740049354</v>
      </c>
      <c r="I155" s="4">
        <f>$B$7-SUM($F$5:F155)-SUM($H$5:H155)</f>
        <v>993607.34034581017</v>
      </c>
    </row>
    <row r="156" spans="4:9" x14ac:dyDescent="0.35">
      <c r="D156" s="8">
        <v>152</v>
      </c>
      <c r="E156" s="7">
        <f t="shared" si="6"/>
        <v>39266.750814437743</v>
      </c>
      <c r="F156" s="7">
        <f t="shared" si="7"/>
        <v>29993.082304543514</v>
      </c>
      <c r="G156" s="7">
        <f t="shared" si="8"/>
        <v>9273.6685098942289</v>
      </c>
      <c r="I156" s="4">
        <f>$B$7-SUM($F$5:F156)-SUM($H$5:H156)</f>
        <v>963614.25804126682</v>
      </c>
    </row>
    <row r="157" spans="4:9" x14ac:dyDescent="0.35">
      <c r="D157" s="8">
        <v>153</v>
      </c>
      <c r="E157" s="7">
        <f t="shared" si="6"/>
        <v>39266.750814437735</v>
      </c>
      <c r="F157" s="7">
        <f t="shared" si="7"/>
        <v>30273.017739385912</v>
      </c>
      <c r="G157" s="7">
        <f t="shared" si="8"/>
        <v>8993.7330750518231</v>
      </c>
      <c r="I157" s="4">
        <f>$B$7-SUM($F$5:F157)-SUM($H$5:H157)</f>
        <v>933341.24030188099</v>
      </c>
    </row>
    <row r="158" spans="4:9" x14ac:dyDescent="0.35">
      <c r="D158" s="8">
        <v>154</v>
      </c>
      <c r="E158" s="7">
        <f t="shared" si="6"/>
        <v>39266.750814437743</v>
      </c>
      <c r="F158" s="7">
        <f t="shared" si="7"/>
        <v>30555.565904953528</v>
      </c>
      <c r="G158" s="7">
        <f t="shared" si="8"/>
        <v>8711.1849094842146</v>
      </c>
      <c r="I158" s="4">
        <f>$B$7-SUM($F$5:F158)-SUM($H$5:H158)</f>
        <v>902785.67439692747</v>
      </c>
    </row>
    <row r="159" spans="4:9" x14ac:dyDescent="0.35">
      <c r="D159" s="8">
        <v>155</v>
      </c>
      <c r="E159" s="7">
        <f t="shared" si="6"/>
        <v>39266.750814437743</v>
      </c>
      <c r="F159" s="7">
        <f t="shared" si="7"/>
        <v>30840.751186733087</v>
      </c>
      <c r="G159" s="7">
        <f t="shared" si="8"/>
        <v>8425.9996277046557</v>
      </c>
      <c r="I159" s="4">
        <f>$B$7-SUM($F$5:F159)-SUM($H$5:H159)</f>
        <v>871944.92321019433</v>
      </c>
    </row>
    <row r="160" spans="4:9" x14ac:dyDescent="0.35">
      <c r="D160" s="8">
        <v>156</v>
      </c>
      <c r="E160" s="7">
        <f t="shared" si="6"/>
        <v>39266.750814437743</v>
      </c>
      <c r="F160" s="7">
        <f t="shared" si="7"/>
        <v>31128.598197809264</v>
      </c>
      <c r="G160" s="7">
        <f t="shared" si="8"/>
        <v>8138.1526166284784</v>
      </c>
      <c r="I160" s="4">
        <f>$B$7-SUM($F$5:F160)-SUM($H$5:H160)</f>
        <v>840816.32501238491</v>
      </c>
    </row>
    <row r="161" spans="4:9" x14ac:dyDescent="0.35">
      <c r="D161" s="8">
        <v>157</v>
      </c>
      <c r="E161" s="7">
        <f t="shared" si="6"/>
        <v>39266.750814437743</v>
      </c>
      <c r="F161" s="7">
        <f t="shared" si="7"/>
        <v>31419.131780988813</v>
      </c>
      <c r="G161" s="7">
        <f t="shared" si="8"/>
        <v>7847.6190334489293</v>
      </c>
      <c r="I161" s="4">
        <f>$B$7-SUM($F$5:F161)-SUM($H$5:H161)</f>
        <v>809397.19323139591</v>
      </c>
    </row>
    <row r="162" spans="4:9" x14ac:dyDescent="0.35">
      <c r="D162" s="8">
        <v>158</v>
      </c>
      <c r="E162" s="7">
        <f t="shared" si="6"/>
        <v>39266.750814437728</v>
      </c>
      <c r="F162" s="7">
        <f t="shared" si="7"/>
        <v>31712.3770109447</v>
      </c>
      <c r="G162" s="7">
        <f t="shared" si="8"/>
        <v>7554.3738034930284</v>
      </c>
      <c r="I162" s="4">
        <f>$B$7-SUM($F$5:F162)-SUM($H$5:H162)</f>
        <v>777684.81622045115</v>
      </c>
    </row>
    <row r="163" spans="4:9" x14ac:dyDescent="0.35">
      <c r="D163" s="8">
        <v>159</v>
      </c>
      <c r="E163" s="7">
        <f t="shared" si="6"/>
        <v>39266.750814437728</v>
      </c>
      <c r="F163" s="7">
        <f t="shared" si="7"/>
        <v>32008.359196380185</v>
      </c>
      <c r="G163" s="7">
        <f t="shared" si="8"/>
        <v>7258.3916180575434</v>
      </c>
      <c r="I163" s="4">
        <f>$B$7-SUM($F$5:F163)-SUM($H$5:H163)</f>
        <v>745676.4570240709</v>
      </c>
    </row>
    <row r="164" spans="4:9" x14ac:dyDescent="0.35">
      <c r="D164" s="8">
        <v>160</v>
      </c>
      <c r="E164" s="7">
        <f t="shared" si="6"/>
        <v>39266.750814437728</v>
      </c>
      <c r="F164" s="7">
        <f t="shared" si="7"/>
        <v>32307.103882213065</v>
      </c>
      <c r="G164" s="7">
        <f t="shared" si="8"/>
        <v>6959.646932224663</v>
      </c>
      <c r="I164" s="4">
        <f>$B$7-SUM($F$5:F164)-SUM($H$5:H164)</f>
        <v>713369.35314185778</v>
      </c>
    </row>
    <row r="165" spans="4:9" x14ac:dyDescent="0.35">
      <c r="D165" s="8">
        <v>161</v>
      </c>
      <c r="E165" s="7">
        <f t="shared" si="6"/>
        <v>39266.750814437721</v>
      </c>
      <c r="F165" s="7">
        <f t="shared" si="7"/>
        <v>32608.636851780378</v>
      </c>
      <c r="G165" s="7">
        <f t="shared" si="8"/>
        <v>6658.1139626573422</v>
      </c>
      <c r="I165" s="4">
        <f>$B$7-SUM($F$5:F165)-SUM($H$5:H165)</f>
        <v>680760.71629007719</v>
      </c>
    </row>
    <row r="166" spans="4:9" x14ac:dyDescent="0.35">
      <c r="D166" s="8">
        <v>162</v>
      </c>
      <c r="E166" s="7">
        <f t="shared" si="6"/>
        <v>39266.750814437699</v>
      </c>
      <c r="F166" s="7">
        <f t="shared" si="7"/>
        <v>32912.984129063647</v>
      </c>
      <c r="G166" s="7">
        <f t="shared" si="8"/>
        <v>6353.766685374052</v>
      </c>
      <c r="I166" s="4">
        <f>$B$7-SUM($F$5:F166)-SUM($H$5:H166)</f>
        <v>647847.73216101341</v>
      </c>
    </row>
    <row r="167" spans="4:9" x14ac:dyDescent="0.35">
      <c r="D167" s="8">
        <v>163</v>
      </c>
      <c r="E167" s="7">
        <f t="shared" si="6"/>
        <v>39266.750814437699</v>
      </c>
      <c r="F167" s="7">
        <f t="shared" si="7"/>
        <v>33220.171980934909</v>
      </c>
      <c r="G167" s="7">
        <f t="shared" si="8"/>
        <v>6046.5788335027901</v>
      </c>
      <c r="I167" s="4">
        <f>$B$7-SUM($F$5:F167)-SUM($H$5:H167)</f>
        <v>614627.56018007873</v>
      </c>
    </row>
    <row r="168" spans="4:9" x14ac:dyDescent="0.35">
      <c r="D168" s="8">
        <v>164</v>
      </c>
      <c r="E168" s="7">
        <f t="shared" si="6"/>
        <v>39266.750814437713</v>
      </c>
      <c r="F168" s="7">
        <f t="shared" si="7"/>
        <v>33530.226919423643</v>
      </c>
      <c r="G168" s="7">
        <f t="shared" si="8"/>
        <v>5736.5238950140701</v>
      </c>
      <c r="I168" s="4">
        <f>$B$7-SUM($F$5:F168)-SUM($H$5:H168)</f>
        <v>581097.33326065494</v>
      </c>
    </row>
    <row r="169" spans="4:9" x14ac:dyDescent="0.35">
      <c r="D169" s="8">
        <v>165</v>
      </c>
      <c r="E169" s="7">
        <f t="shared" si="6"/>
        <v>39266.750814437699</v>
      </c>
      <c r="F169" s="7">
        <f t="shared" si="7"/>
        <v>33843.17570400492</v>
      </c>
      <c r="G169" s="7">
        <f t="shared" si="8"/>
        <v>5423.5751104327792</v>
      </c>
      <c r="I169" s="4">
        <f>$B$7-SUM($F$5:F169)-SUM($H$5:H169)</f>
        <v>547254.15755665023</v>
      </c>
    </row>
    <row r="170" spans="4:9" x14ac:dyDescent="0.35">
      <c r="D170" s="8">
        <v>166</v>
      </c>
      <c r="E170" s="7">
        <f t="shared" si="6"/>
        <v>39266.750814437721</v>
      </c>
      <c r="F170" s="7">
        <f t="shared" si="7"/>
        <v>34159.045343908983</v>
      </c>
      <c r="G170" s="7">
        <f t="shared" si="8"/>
        <v>5107.7054705287374</v>
      </c>
      <c r="I170" s="4">
        <f>$B$7-SUM($F$5:F170)-SUM($H$5:H170)</f>
        <v>513095.11221274128</v>
      </c>
    </row>
    <row r="171" spans="4:9" x14ac:dyDescent="0.35">
      <c r="D171" s="8">
        <v>167</v>
      </c>
      <c r="E171" s="7">
        <f t="shared" si="6"/>
        <v>39266.750814437713</v>
      </c>
      <c r="F171" s="7">
        <f t="shared" si="7"/>
        <v>34477.863100452123</v>
      </c>
      <c r="G171" s="7">
        <f t="shared" si="8"/>
        <v>4788.8877139855904</v>
      </c>
      <c r="I171" s="4">
        <f>$B$7-SUM($F$5:F171)-SUM($H$5:H171)</f>
        <v>478617.24911228893</v>
      </c>
    </row>
    <row r="172" spans="4:9" x14ac:dyDescent="0.35">
      <c r="D172" s="8">
        <v>168</v>
      </c>
      <c r="E172" s="7">
        <f t="shared" si="6"/>
        <v>39266.750814437699</v>
      </c>
      <c r="F172" s="7">
        <f t="shared" si="7"/>
        <v>34799.656489389672</v>
      </c>
      <c r="G172" s="7">
        <f t="shared" si="8"/>
        <v>4467.0943250480268</v>
      </c>
      <c r="I172" s="4">
        <f>$B$7-SUM($F$5:F172)-SUM($H$5:H172)</f>
        <v>443817.59262289945</v>
      </c>
    </row>
    <row r="173" spans="4:9" x14ac:dyDescent="0.35">
      <c r="D173" s="8">
        <v>169</v>
      </c>
      <c r="E173" s="7">
        <f t="shared" si="6"/>
        <v>39266.750814437721</v>
      </c>
      <c r="F173" s="7">
        <f t="shared" si="7"/>
        <v>35124.453283290655</v>
      </c>
      <c r="G173" s="7">
        <f t="shared" si="8"/>
        <v>4142.2975311470655</v>
      </c>
      <c r="I173" s="4">
        <f>$B$7-SUM($F$5:F173)-SUM($H$5:H173)</f>
        <v>408693.13933960861</v>
      </c>
    </row>
    <row r="174" spans="4:9" x14ac:dyDescent="0.35">
      <c r="D174" s="8">
        <v>170</v>
      </c>
      <c r="E174" s="7">
        <f t="shared" si="6"/>
        <v>39266.750814437699</v>
      </c>
      <c r="F174" s="7">
        <f t="shared" si="7"/>
        <v>35452.281513934686</v>
      </c>
      <c r="G174" s="7">
        <f t="shared" si="8"/>
        <v>3814.4693005030131</v>
      </c>
      <c r="I174" s="4">
        <f>$B$7-SUM($F$5:F174)-SUM($H$5:H174)</f>
        <v>373240.85782567412</v>
      </c>
    </row>
    <row r="175" spans="4:9" x14ac:dyDescent="0.35">
      <c r="D175" s="8">
        <v>171</v>
      </c>
      <c r="E175" s="7">
        <f t="shared" si="6"/>
        <v>39266.750814437721</v>
      </c>
      <c r="F175" s="7">
        <f t="shared" si="7"/>
        <v>35783.169474731432</v>
      </c>
      <c r="G175" s="7">
        <f t="shared" si="8"/>
        <v>3483.5813397062884</v>
      </c>
      <c r="I175" s="4">
        <f>$B$7-SUM($F$5:F175)-SUM($H$5:H175)</f>
        <v>337457.68835094292</v>
      </c>
    </row>
    <row r="176" spans="4:9" x14ac:dyDescent="0.35">
      <c r="D176" s="8">
        <v>172</v>
      </c>
      <c r="E176" s="7">
        <f t="shared" si="6"/>
        <v>39266.750814437757</v>
      </c>
      <c r="F176" s="7">
        <f t="shared" si="7"/>
        <v>36117.145723162284</v>
      </c>
      <c r="G176" s="7">
        <f t="shared" si="8"/>
        <v>3149.6050912754727</v>
      </c>
      <c r="I176" s="4">
        <f>$B$7-SUM($F$5:F176)-SUM($H$5:H176)</f>
        <v>301340.5426277807</v>
      </c>
    </row>
    <row r="177" spans="4:9" x14ac:dyDescent="0.35">
      <c r="D177" s="8">
        <v>173</v>
      </c>
      <c r="E177" s="7">
        <f t="shared" si="6"/>
        <v>39266.750814437764</v>
      </c>
      <c r="F177" s="7">
        <f t="shared" si="7"/>
        <v>36454.239083245142</v>
      </c>
      <c r="G177" s="7">
        <f t="shared" si="8"/>
        <v>2812.5117311926224</v>
      </c>
      <c r="I177" s="4">
        <f>$B$7-SUM($F$5:F177)-SUM($H$5:H177)</f>
        <v>264886.30354453577</v>
      </c>
    </row>
    <row r="178" spans="4:9" x14ac:dyDescent="0.35">
      <c r="D178" s="8">
        <v>174</v>
      </c>
      <c r="E178" s="7">
        <f t="shared" si="6"/>
        <v>39266.750814437786</v>
      </c>
      <c r="F178" s="7">
        <f t="shared" si="7"/>
        <v>36794.478648022123</v>
      </c>
      <c r="G178" s="7">
        <f t="shared" si="8"/>
        <v>2472.2721664156634</v>
      </c>
      <c r="I178" s="4">
        <f>$B$7-SUM($F$5:F178)-SUM($H$5:H178)</f>
        <v>228091.82489651348</v>
      </c>
    </row>
    <row r="179" spans="4:9" x14ac:dyDescent="0.35">
      <c r="D179" s="8">
        <v>175</v>
      </c>
      <c r="E179" s="7">
        <f t="shared" si="6"/>
        <v>39266.750814437772</v>
      </c>
      <c r="F179" s="7">
        <f t="shared" si="7"/>
        <v>37137.893782070307</v>
      </c>
      <c r="G179" s="7">
        <f t="shared" si="8"/>
        <v>2128.8570323674649</v>
      </c>
      <c r="I179" s="4">
        <f>$B$7-SUM($F$5:F179)-SUM($H$5:H179)</f>
        <v>190953.93111444311</v>
      </c>
    </row>
    <row r="180" spans="4:9" x14ac:dyDescent="0.35">
      <c r="D180" s="8">
        <v>176</v>
      </c>
      <c r="E180" s="7">
        <f t="shared" si="6"/>
        <v>39266.750814437743</v>
      </c>
      <c r="F180" s="7">
        <f t="shared" si="7"/>
        <v>37484.514124036279</v>
      </c>
      <c r="G180" s="7">
        <f t="shared" si="8"/>
        <v>1782.2366904014634</v>
      </c>
      <c r="I180" s="4">
        <f>$B$7-SUM($F$5:F180)-SUM($H$5:H180)</f>
        <v>153469.41699040681</v>
      </c>
    </row>
    <row r="181" spans="4:9" x14ac:dyDescent="0.35">
      <c r="D181" s="8">
        <v>177</v>
      </c>
      <c r="E181" s="7">
        <f t="shared" si="6"/>
        <v>39266.750814437743</v>
      </c>
      <c r="F181" s="7">
        <f t="shared" si="7"/>
        <v>37834.36958919395</v>
      </c>
      <c r="G181" s="7">
        <f t="shared" si="8"/>
        <v>1432.3812252437929</v>
      </c>
      <c r="I181" s="4">
        <f>$B$7-SUM($F$5:F181)-SUM($H$5:H181)</f>
        <v>115635.04740121309</v>
      </c>
    </row>
    <row r="182" spans="4:9" x14ac:dyDescent="0.35">
      <c r="D182" s="8">
        <v>178</v>
      </c>
      <c r="E182" s="7">
        <f t="shared" si="6"/>
        <v>39266.750814437823</v>
      </c>
      <c r="F182" s="7">
        <f t="shared" si="7"/>
        <v>38187.490372026499</v>
      </c>
      <c r="G182" s="7">
        <f t="shared" si="8"/>
        <v>1079.2604424113233</v>
      </c>
      <c r="I182" s="4">
        <f>$B$7-SUM($F$5:F182)-SUM($H$5:H182)</f>
        <v>77447.557029186748</v>
      </c>
    </row>
    <row r="183" spans="4:9" x14ac:dyDescent="0.35">
      <c r="D183" s="8">
        <v>179</v>
      </c>
      <c r="E183" s="7">
        <f t="shared" si="6"/>
        <v>39266.750814437895</v>
      </c>
      <c r="F183" s="7">
        <f t="shared" si="7"/>
        <v>38543.906948832147</v>
      </c>
      <c r="G183" s="7">
        <f t="shared" si="8"/>
        <v>722.84386560574785</v>
      </c>
      <c r="I183" s="4">
        <f>$B$7-SUM($F$5:F183)-SUM($H$5:H183)</f>
        <v>38903.650080354419</v>
      </c>
    </row>
    <row r="184" spans="4:9" x14ac:dyDescent="0.35">
      <c r="D184" s="8">
        <v>180</v>
      </c>
      <c r="E184" s="7">
        <f t="shared" si="6"/>
        <v>39266.750814437728</v>
      </c>
      <c r="F184" s="7">
        <f t="shared" si="7"/>
        <v>38903.650080354419</v>
      </c>
      <c r="G184" s="7">
        <f t="shared" si="8"/>
        <v>363.10073408330936</v>
      </c>
      <c r="I184" s="4">
        <f>$B$7-SUM($F$5:F184)-SUM($H$5:H184)</f>
        <v>0</v>
      </c>
    </row>
    <row r="185" spans="4:9" x14ac:dyDescent="0.35">
      <c r="E185" s="7">
        <f t="shared" si="6"/>
        <v>0</v>
      </c>
      <c r="F185" s="7">
        <f t="shared" si="7"/>
        <v>0</v>
      </c>
      <c r="G185" s="7">
        <f t="shared" si="8"/>
        <v>0</v>
      </c>
      <c r="I185" s="4">
        <f>$B$7-SUM($F$5:F185)-SUM($H$5:H185)</f>
        <v>0</v>
      </c>
    </row>
    <row r="186" spans="4:9" x14ac:dyDescent="0.35">
      <c r="E186" s="7">
        <f t="shared" si="6"/>
        <v>0</v>
      </c>
      <c r="F186" s="7">
        <f t="shared" si="7"/>
        <v>0</v>
      </c>
      <c r="G186" s="7">
        <f t="shared" si="8"/>
        <v>0</v>
      </c>
      <c r="I186" s="4">
        <f>$B$7-SUM($F$5:F186)-SUM($H$5:H186)</f>
        <v>0</v>
      </c>
    </row>
    <row r="187" spans="4:9" x14ac:dyDescent="0.35">
      <c r="E187" s="7">
        <f t="shared" si="6"/>
        <v>0</v>
      </c>
      <c r="F187" s="7">
        <f t="shared" si="7"/>
        <v>0</v>
      </c>
      <c r="G187" s="7">
        <f t="shared" si="8"/>
        <v>0</v>
      </c>
      <c r="I187" s="4">
        <f>$B$7-SUM($F$5:F187)-SUM($H$5:H187)</f>
        <v>0</v>
      </c>
    </row>
    <row r="188" spans="4:9" x14ac:dyDescent="0.35">
      <c r="E188" s="7">
        <f t="shared" si="6"/>
        <v>0</v>
      </c>
      <c r="F188" s="7">
        <f t="shared" si="7"/>
        <v>0</v>
      </c>
      <c r="G188" s="7">
        <f t="shared" si="8"/>
        <v>0</v>
      </c>
      <c r="I188" s="4">
        <f>$B$7-SUM($F$5:F188)-SUM($H$5:H188)</f>
        <v>0</v>
      </c>
    </row>
    <row r="189" spans="4:9" x14ac:dyDescent="0.35">
      <c r="E189" s="7">
        <f t="shared" si="6"/>
        <v>0</v>
      </c>
      <c r="F189" s="7">
        <f t="shared" si="7"/>
        <v>0</v>
      </c>
      <c r="G189" s="7">
        <f t="shared" si="8"/>
        <v>0</v>
      </c>
      <c r="I189" s="4">
        <f>$B$7-SUM($F$5:F189)-SUM($H$5:H189)</f>
        <v>0</v>
      </c>
    </row>
    <row r="190" spans="4:9" x14ac:dyDescent="0.35">
      <c r="E190" s="7">
        <f t="shared" si="6"/>
        <v>0</v>
      </c>
      <c r="F190" s="7">
        <f t="shared" si="7"/>
        <v>0</v>
      </c>
      <c r="G190" s="7">
        <f t="shared" si="8"/>
        <v>0</v>
      </c>
      <c r="I190" s="4">
        <f>$B$7-SUM($F$5:F190)-SUM($H$5:H190)</f>
        <v>0</v>
      </c>
    </row>
    <row r="191" spans="4:9" x14ac:dyDescent="0.35">
      <c r="E191" s="7">
        <f t="shared" si="6"/>
        <v>0</v>
      </c>
      <c r="F191" s="7">
        <f t="shared" si="7"/>
        <v>0</v>
      </c>
      <c r="G191" s="7">
        <f t="shared" si="8"/>
        <v>0</v>
      </c>
      <c r="I191" s="4">
        <f>$B$7-SUM($F$5:F191)-SUM($H$5:H191)</f>
        <v>0</v>
      </c>
    </row>
    <row r="192" spans="4:9" x14ac:dyDescent="0.35">
      <c r="E192" s="7">
        <f t="shared" si="6"/>
        <v>0</v>
      </c>
      <c r="F192" s="7">
        <f t="shared" si="7"/>
        <v>0</v>
      </c>
      <c r="G192" s="7">
        <f t="shared" si="8"/>
        <v>0</v>
      </c>
      <c r="I192" s="4">
        <f>$B$7-SUM($F$5:F192)-SUM($H$5:H192)</f>
        <v>0</v>
      </c>
    </row>
    <row r="193" spans="5:9" x14ac:dyDescent="0.35">
      <c r="E193" s="7">
        <f t="shared" si="6"/>
        <v>0</v>
      </c>
      <c r="F193" s="7">
        <f t="shared" si="7"/>
        <v>0</v>
      </c>
      <c r="G193" s="7">
        <f t="shared" si="8"/>
        <v>0</v>
      </c>
      <c r="I193" s="4">
        <f>$B$7-SUM($F$5:F193)-SUM($H$5:H193)</f>
        <v>0</v>
      </c>
    </row>
    <row r="194" spans="5:9" x14ac:dyDescent="0.35">
      <c r="E194" s="7">
        <f t="shared" si="6"/>
        <v>0</v>
      </c>
      <c r="F194" s="7">
        <f t="shared" si="7"/>
        <v>0</v>
      </c>
      <c r="G194" s="7">
        <f t="shared" si="8"/>
        <v>0</v>
      </c>
      <c r="I194" s="4">
        <f>$B$7-SUM($F$5:F194)-SUM($H$5:H194)</f>
        <v>0</v>
      </c>
    </row>
    <row r="195" spans="5:9" x14ac:dyDescent="0.35">
      <c r="E195" s="7">
        <f t="shared" si="6"/>
        <v>0</v>
      </c>
      <c r="F195" s="7">
        <f t="shared" si="7"/>
        <v>0</v>
      </c>
      <c r="G195" s="7">
        <f t="shared" si="8"/>
        <v>0</v>
      </c>
      <c r="I195" s="4">
        <f>$B$7-SUM($F$5:F195)-SUM($H$5:H195)</f>
        <v>0</v>
      </c>
    </row>
    <row r="196" spans="5:9" x14ac:dyDescent="0.35">
      <c r="E196" s="7">
        <f t="shared" si="6"/>
        <v>0</v>
      </c>
      <c r="F196" s="7">
        <f t="shared" si="7"/>
        <v>0</v>
      </c>
      <c r="G196" s="7">
        <f t="shared" si="8"/>
        <v>0</v>
      </c>
      <c r="I196" s="4">
        <f>$B$7-SUM($F$5:F196)-SUM($H$5:H196)</f>
        <v>0</v>
      </c>
    </row>
    <row r="197" spans="5:9" x14ac:dyDescent="0.35">
      <c r="E197" s="7">
        <f t="shared" si="6"/>
        <v>0</v>
      </c>
      <c r="F197" s="7">
        <f t="shared" si="7"/>
        <v>0</v>
      </c>
      <c r="G197" s="7">
        <f t="shared" si="8"/>
        <v>0</v>
      </c>
      <c r="I197" s="4">
        <f>$B$7-SUM($F$5:F197)-SUM($H$5:H197)</f>
        <v>0</v>
      </c>
    </row>
    <row r="198" spans="5:9" x14ac:dyDescent="0.35">
      <c r="E198" s="7">
        <f t="shared" ref="E198:E244" si="9">-PMT($B$8/12,$B$9*12-D198+1,IF(D198=1,$B$7,I197))</f>
        <v>0</v>
      </c>
      <c r="F198" s="7">
        <f t="shared" ref="F198:F244" si="10">-PPMT($B$8/12,1,$B$9*12-D198+1,IF(D198=1,$B$7,I197))</f>
        <v>0</v>
      </c>
      <c r="G198" s="7">
        <f t="shared" ref="G198:G244" si="11">E198-F198</f>
        <v>0</v>
      </c>
      <c r="I198" s="4">
        <f>$B$7-SUM($F$5:F198)-SUM($H$5:H198)</f>
        <v>0</v>
      </c>
    </row>
    <row r="199" spans="5:9" x14ac:dyDescent="0.35">
      <c r="E199" s="7">
        <f t="shared" si="9"/>
        <v>0</v>
      </c>
      <c r="F199" s="7">
        <f t="shared" si="10"/>
        <v>0</v>
      </c>
      <c r="G199" s="7">
        <f t="shared" si="11"/>
        <v>0</v>
      </c>
      <c r="I199" s="4">
        <f>$B$7-SUM($F$5:F199)-SUM($H$5:H199)</f>
        <v>0</v>
      </c>
    </row>
    <row r="200" spans="5:9" x14ac:dyDescent="0.35">
      <c r="E200" s="7">
        <f t="shared" si="9"/>
        <v>0</v>
      </c>
      <c r="F200" s="7">
        <f t="shared" si="10"/>
        <v>0</v>
      </c>
      <c r="G200" s="7">
        <f t="shared" si="11"/>
        <v>0</v>
      </c>
      <c r="I200" s="4">
        <f>$B$7-SUM($F$5:F200)-SUM($H$5:H200)</f>
        <v>0</v>
      </c>
    </row>
    <row r="201" spans="5:9" x14ac:dyDescent="0.35">
      <c r="E201" s="7">
        <f t="shared" si="9"/>
        <v>0</v>
      </c>
      <c r="F201" s="7">
        <f t="shared" si="10"/>
        <v>0</v>
      </c>
      <c r="G201" s="7">
        <f t="shared" si="11"/>
        <v>0</v>
      </c>
      <c r="I201" s="4">
        <f>$B$7-SUM($F$5:F201)-SUM($H$5:H201)</f>
        <v>0</v>
      </c>
    </row>
    <row r="202" spans="5:9" x14ac:dyDescent="0.35">
      <c r="E202" s="7">
        <f t="shared" si="9"/>
        <v>0</v>
      </c>
      <c r="F202" s="7">
        <f t="shared" si="10"/>
        <v>0</v>
      </c>
      <c r="G202" s="7">
        <f t="shared" si="11"/>
        <v>0</v>
      </c>
      <c r="I202" s="4">
        <f>$B$7-SUM($F$5:F202)-SUM($H$5:H202)</f>
        <v>0</v>
      </c>
    </row>
    <row r="203" spans="5:9" x14ac:dyDescent="0.35">
      <c r="E203" s="7">
        <f t="shared" si="9"/>
        <v>0</v>
      </c>
      <c r="F203" s="7">
        <f t="shared" si="10"/>
        <v>0</v>
      </c>
      <c r="G203" s="7">
        <f t="shared" si="11"/>
        <v>0</v>
      </c>
      <c r="I203" s="4">
        <f>$B$7-SUM($F$5:F203)-SUM($H$5:H203)</f>
        <v>0</v>
      </c>
    </row>
    <row r="204" spans="5:9" x14ac:dyDescent="0.35">
      <c r="E204" s="7">
        <f t="shared" si="9"/>
        <v>0</v>
      </c>
      <c r="F204" s="7">
        <f t="shared" si="10"/>
        <v>0</v>
      </c>
      <c r="G204" s="7">
        <f t="shared" si="11"/>
        <v>0</v>
      </c>
      <c r="I204" s="4">
        <f>$B$7-SUM($F$5:F204)-SUM($H$5:H204)</f>
        <v>0</v>
      </c>
    </row>
    <row r="205" spans="5:9" x14ac:dyDescent="0.35">
      <c r="E205" s="7">
        <f t="shared" si="9"/>
        <v>0</v>
      </c>
      <c r="F205" s="7">
        <f t="shared" si="10"/>
        <v>0</v>
      </c>
      <c r="G205" s="7">
        <f t="shared" si="11"/>
        <v>0</v>
      </c>
      <c r="I205" s="4">
        <f>$B$7-SUM($F$5:F205)-SUM($H$5:H205)</f>
        <v>0</v>
      </c>
    </row>
    <row r="206" spans="5:9" x14ac:dyDescent="0.35">
      <c r="E206" s="7">
        <f t="shared" si="9"/>
        <v>0</v>
      </c>
      <c r="F206" s="7">
        <f t="shared" si="10"/>
        <v>0</v>
      </c>
      <c r="G206" s="7">
        <f t="shared" si="11"/>
        <v>0</v>
      </c>
      <c r="I206" s="4">
        <f>$B$7-SUM($F$5:F206)-SUM($H$5:H206)</f>
        <v>0</v>
      </c>
    </row>
    <row r="207" spans="5:9" x14ac:dyDescent="0.35">
      <c r="E207" s="7">
        <f t="shared" si="9"/>
        <v>0</v>
      </c>
      <c r="F207" s="7">
        <f t="shared" si="10"/>
        <v>0</v>
      </c>
      <c r="G207" s="7">
        <f t="shared" si="11"/>
        <v>0</v>
      </c>
      <c r="I207" s="4">
        <f>$B$7-SUM($F$5:F207)-SUM($H$5:H207)</f>
        <v>0</v>
      </c>
    </row>
    <row r="208" spans="5:9" x14ac:dyDescent="0.35">
      <c r="E208" s="7">
        <f t="shared" si="9"/>
        <v>0</v>
      </c>
      <c r="F208" s="7">
        <f t="shared" si="10"/>
        <v>0</v>
      </c>
      <c r="G208" s="7">
        <f t="shared" si="11"/>
        <v>0</v>
      </c>
      <c r="I208" s="4">
        <f>$B$7-SUM($F$5:F208)-SUM($H$5:H208)</f>
        <v>0</v>
      </c>
    </row>
    <row r="209" spans="5:9" x14ac:dyDescent="0.35">
      <c r="E209" s="7">
        <f t="shared" si="9"/>
        <v>0</v>
      </c>
      <c r="F209" s="7">
        <f t="shared" si="10"/>
        <v>0</v>
      </c>
      <c r="G209" s="7">
        <f t="shared" si="11"/>
        <v>0</v>
      </c>
      <c r="I209" s="4">
        <f>$B$7-SUM($F$5:F209)-SUM($H$5:H209)</f>
        <v>0</v>
      </c>
    </row>
    <row r="210" spans="5:9" x14ac:dyDescent="0.35">
      <c r="E210" s="7">
        <f t="shared" si="9"/>
        <v>0</v>
      </c>
      <c r="F210" s="7">
        <f t="shared" si="10"/>
        <v>0</v>
      </c>
      <c r="G210" s="7">
        <f t="shared" si="11"/>
        <v>0</v>
      </c>
      <c r="I210" s="4">
        <f>$B$7-SUM($F$5:F210)-SUM($H$5:H210)</f>
        <v>0</v>
      </c>
    </row>
    <row r="211" spans="5:9" x14ac:dyDescent="0.35">
      <c r="E211" s="7">
        <f t="shared" si="9"/>
        <v>0</v>
      </c>
      <c r="F211" s="7">
        <f t="shared" si="10"/>
        <v>0</v>
      </c>
      <c r="G211" s="7">
        <f t="shared" si="11"/>
        <v>0</v>
      </c>
      <c r="I211" s="4">
        <f>$B$7-SUM($F$5:F211)-SUM($H$5:H211)</f>
        <v>0</v>
      </c>
    </row>
    <row r="212" spans="5:9" x14ac:dyDescent="0.35">
      <c r="E212" s="7">
        <f t="shared" si="9"/>
        <v>0</v>
      </c>
      <c r="F212" s="7">
        <f t="shared" si="10"/>
        <v>0</v>
      </c>
      <c r="G212" s="7">
        <f t="shared" si="11"/>
        <v>0</v>
      </c>
      <c r="I212" s="4">
        <f>$B$7-SUM($F$5:F212)-SUM($H$5:H212)</f>
        <v>0</v>
      </c>
    </row>
    <row r="213" spans="5:9" x14ac:dyDescent="0.35">
      <c r="E213" s="7">
        <f t="shared" si="9"/>
        <v>0</v>
      </c>
      <c r="F213" s="7">
        <f t="shared" si="10"/>
        <v>0</v>
      </c>
      <c r="G213" s="7">
        <f t="shared" si="11"/>
        <v>0</v>
      </c>
      <c r="I213" s="4">
        <f>$B$7-SUM($F$5:F213)-SUM($H$5:H213)</f>
        <v>0</v>
      </c>
    </row>
    <row r="214" spans="5:9" x14ac:dyDescent="0.35">
      <c r="E214" s="7">
        <f t="shared" si="9"/>
        <v>0</v>
      </c>
      <c r="F214" s="7">
        <f t="shared" si="10"/>
        <v>0</v>
      </c>
      <c r="G214" s="7">
        <f t="shared" si="11"/>
        <v>0</v>
      </c>
      <c r="I214" s="4">
        <f>$B$7-SUM($F$5:F214)-SUM($H$5:H214)</f>
        <v>0</v>
      </c>
    </row>
    <row r="215" spans="5:9" x14ac:dyDescent="0.35">
      <c r="E215" s="7">
        <f t="shared" si="9"/>
        <v>0</v>
      </c>
      <c r="F215" s="7">
        <f t="shared" si="10"/>
        <v>0</v>
      </c>
      <c r="G215" s="7">
        <f t="shared" si="11"/>
        <v>0</v>
      </c>
      <c r="I215" s="4">
        <f>$B$7-SUM($F$5:F215)-SUM($H$5:H215)</f>
        <v>0</v>
      </c>
    </row>
    <row r="216" spans="5:9" x14ac:dyDescent="0.35">
      <c r="E216" s="7">
        <f t="shared" si="9"/>
        <v>0</v>
      </c>
      <c r="F216" s="7">
        <f t="shared" si="10"/>
        <v>0</v>
      </c>
      <c r="G216" s="7">
        <f t="shared" si="11"/>
        <v>0</v>
      </c>
      <c r="I216" s="4">
        <f>$B$7-SUM($F$5:F216)-SUM($H$5:H216)</f>
        <v>0</v>
      </c>
    </row>
    <row r="217" spans="5:9" x14ac:dyDescent="0.35">
      <c r="E217" s="7">
        <f t="shared" si="9"/>
        <v>0</v>
      </c>
      <c r="F217" s="7">
        <f t="shared" si="10"/>
        <v>0</v>
      </c>
      <c r="G217" s="7">
        <f t="shared" si="11"/>
        <v>0</v>
      </c>
      <c r="I217" s="4">
        <f>$B$7-SUM($F$5:F217)-SUM($H$5:H217)</f>
        <v>0</v>
      </c>
    </row>
    <row r="218" spans="5:9" x14ac:dyDescent="0.35">
      <c r="E218" s="7">
        <f t="shared" si="9"/>
        <v>0</v>
      </c>
      <c r="F218" s="7">
        <f t="shared" si="10"/>
        <v>0</v>
      </c>
      <c r="G218" s="7">
        <f t="shared" si="11"/>
        <v>0</v>
      </c>
      <c r="I218" s="4">
        <f>$B$7-SUM($F$5:F218)-SUM($H$5:H218)</f>
        <v>0</v>
      </c>
    </row>
    <row r="219" spans="5:9" x14ac:dyDescent="0.35">
      <c r="E219" s="7">
        <f t="shared" si="9"/>
        <v>0</v>
      </c>
      <c r="F219" s="7">
        <f t="shared" si="10"/>
        <v>0</v>
      </c>
      <c r="G219" s="7">
        <f t="shared" si="11"/>
        <v>0</v>
      </c>
      <c r="I219" s="4">
        <f>$B$7-SUM($F$5:F219)-SUM($H$5:H219)</f>
        <v>0</v>
      </c>
    </row>
    <row r="220" spans="5:9" x14ac:dyDescent="0.35">
      <c r="E220" s="7">
        <f t="shared" si="9"/>
        <v>0</v>
      </c>
      <c r="F220" s="7">
        <f t="shared" si="10"/>
        <v>0</v>
      </c>
      <c r="G220" s="7">
        <f t="shared" si="11"/>
        <v>0</v>
      </c>
      <c r="I220" s="4">
        <f>$B$7-SUM($F$5:F220)-SUM($H$5:H220)</f>
        <v>0</v>
      </c>
    </row>
    <row r="221" spans="5:9" x14ac:dyDescent="0.35">
      <c r="E221" s="7">
        <f t="shared" si="9"/>
        <v>0</v>
      </c>
      <c r="F221" s="7">
        <f t="shared" si="10"/>
        <v>0</v>
      </c>
      <c r="G221" s="7">
        <f t="shared" si="11"/>
        <v>0</v>
      </c>
      <c r="I221" s="4">
        <f>$B$7-SUM($F$5:F221)-SUM($H$5:H221)</f>
        <v>0</v>
      </c>
    </row>
    <row r="222" spans="5:9" x14ac:dyDescent="0.35">
      <c r="E222" s="7">
        <f t="shared" si="9"/>
        <v>0</v>
      </c>
      <c r="F222" s="7">
        <f t="shared" si="10"/>
        <v>0</v>
      </c>
      <c r="G222" s="7">
        <f t="shared" si="11"/>
        <v>0</v>
      </c>
      <c r="I222" s="4">
        <f>$B$7-SUM($F$5:F222)-SUM($H$5:H222)</f>
        <v>0</v>
      </c>
    </row>
    <row r="223" spans="5:9" x14ac:dyDescent="0.35">
      <c r="E223" s="7">
        <f t="shared" si="9"/>
        <v>0</v>
      </c>
      <c r="F223" s="7">
        <f t="shared" si="10"/>
        <v>0</v>
      </c>
      <c r="G223" s="7">
        <f t="shared" si="11"/>
        <v>0</v>
      </c>
      <c r="I223" s="4">
        <f>$B$7-SUM($F$5:F223)-SUM($H$5:H223)</f>
        <v>0</v>
      </c>
    </row>
    <row r="224" spans="5:9" x14ac:dyDescent="0.35">
      <c r="E224" s="7">
        <f t="shared" si="9"/>
        <v>0</v>
      </c>
      <c r="F224" s="7">
        <f t="shared" si="10"/>
        <v>0</v>
      </c>
      <c r="G224" s="7">
        <f t="shared" si="11"/>
        <v>0</v>
      </c>
      <c r="I224" s="4">
        <f>$B$7-SUM($F$5:F224)-SUM($H$5:H224)</f>
        <v>0</v>
      </c>
    </row>
    <row r="225" spans="5:9" x14ac:dyDescent="0.35">
      <c r="E225" s="7">
        <f t="shared" si="9"/>
        <v>0</v>
      </c>
      <c r="F225" s="7">
        <f t="shared" si="10"/>
        <v>0</v>
      </c>
      <c r="G225" s="7">
        <f t="shared" si="11"/>
        <v>0</v>
      </c>
      <c r="I225" s="4">
        <f>$B$7-SUM($F$5:F225)-SUM($H$5:H225)</f>
        <v>0</v>
      </c>
    </row>
    <row r="226" spans="5:9" x14ac:dyDescent="0.35">
      <c r="E226" s="7">
        <f t="shared" si="9"/>
        <v>0</v>
      </c>
      <c r="F226" s="7">
        <f t="shared" si="10"/>
        <v>0</v>
      </c>
      <c r="G226" s="7">
        <f t="shared" si="11"/>
        <v>0</v>
      </c>
      <c r="I226" s="4">
        <f>$B$7-SUM($F$5:F226)-SUM($H$5:H226)</f>
        <v>0</v>
      </c>
    </row>
    <row r="227" spans="5:9" x14ac:dyDescent="0.35">
      <c r="E227" s="7">
        <f t="shared" si="9"/>
        <v>0</v>
      </c>
      <c r="F227" s="7">
        <f t="shared" si="10"/>
        <v>0</v>
      </c>
      <c r="G227" s="7">
        <f t="shared" si="11"/>
        <v>0</v>
      </c>
      <c r="I227" s="4">
        <f>$B$7-SUM($F$5:F227)-SUM($H$5:H227)</f>
        <v>0</v>
      </c>
    </row>
    <row r="228" spans="5:9" x14ac:dyDescent="0.35">
      <c r="E228" s="7">
        <f t="shared" si="9"/>
        <v>0</v>
      </c>
      <c r="F228" s="7">
        <f t="shared" si="10"/>
        <v>0</v>
      </c>
      <c r="G228" s="7">
        <f t="shared" si="11"/>
        <v>0</v>
      </c>
      <c r="I228" s="4">
        <f>$B$7-SUM($F$5:F228)-SUM($H$5:H228)</f>
        <v>0</v>
      </c>
    </row>
    <row r="229" spans="5:9" x14ac:dyDescent="0.35">
      <c r="E229" s="7">
        <f t="shared" si="9"/>
        <v>0</v>
      </c>
      <c r="F229" s="7">
        <f t="shared" si="10"/>
        <v>0</v>
      </c>
      <c r="G229" s="7">
        <f t="shared" si="11"/>
        <v>0</v>
      </c>
      <c r="I229" s="4">
        <f>$B$7-SUM($F$5:F229)-SUM($H$5:H229)</f>
        <v>0</v>
      </c>
    </row>
    <row r="230" spans="5:9" x14ac:dyDescent="0.35">
      <c r="E230" s="7">
        <f t="shared" si="9"/>
        <v>0</v>
      </c>
      <c r="F230" s="7">
        <f t="shared" si="10"/>
        <v>0</v>
      </c>
      <c r="G230" s="7">
        <f t="shared" si="11"/>
        <v>0</v>
      </c>
      <c r="I230" s="4">
        <f>$B$7-SUM($F$5:F230)-SUM($H$5:H230)</f>
        <v>0</v>
      </c>
    </row>
    <row r="231" spans="5:9" x14ac:dyDescent="0.35">
      <c r="E231" s="7">
        <f t="shared" si="9"/>
        <v>0</v>
      </c>
      <c r="F231" s="7">
        <f t="shared" si="10"/>
        <v>0</v>
      </c>
      <c r="G231" s="7">
        <f t="shared" si="11"/>
        <v>0</v>
      </c>
      <c r="I231" s="4">
        <f>$B$7-SUM($F$5:F231)-SUM($H$5:H231)</f>
        <v>0</v>
      </c>
    </row>
    <row r="232" spans="5:9" x14ac:dyDescent="0.35">
      <c r="E232" s="7">
        <f t="shared" si="9"/>
        <v>0</v>
      </c>
      <c r="F232" s="7">
        <f t="shared" si="10"/>
        <v>0</v>
      </c>
      <c r="G232" s="7">
        <f t="shared" si="11"/>
        <v>0</v>
      </c>
      <c r="I232" s="4">
        <f>$B$7-SUM($F$5:F232)-SUM($H$5:H232)</f>
        <v>0</v>
      </c>
    </row>
    <row r="233" spans="5:9" x14ac:dyDescent="0.35">
      <c r="E233" s="7">
        <f t="shared" si="9"/>
        <v>0</v>
      </c>
      <c r="F233" s="7">
        <f t="shared" si="10"/>
        <v>0</v>
      </c>
      <c r="G233" s="7">
        <f t="shared" si="11"/>
        <v>0</v>
      </c>
      <c r="I233" s="4">
        <f>$B$7-SUM($F$5:F233)-SUM($H$5:H233)</f>
        <v>0</v>
      </c>
    </row>
    <row r="234" spans="5:9" x14ac:dyDescent="0.35">
      <c r="E234" s="7">
        <f t="shared" si="9"/>
        <v>0</v>
      </c>
      <c r="F234" s="7">
        <f t="shared" si="10"/>
        <v>0</v>
      </c>
      <c r="G234" s="7">
        <f t="shared" si="11"/>
        <v>0</v>
      </c>
      <c r="I234" s="4">
        <f>$B$7-SUM($F$5:F234)-SUM($H$5:H234)</f>
        <v>0</v>
      </c>
    </row>
    <row r="235" spans="5:9" x14ac:dyDescent="0.35">
      <c r="E235" s="7">
        <f t="shared" si="9"/>
        <v>0</v>
      </c>
      <c r="F235" s="7">
        <f t="shared" si="10"/>
        <v>0</v>
      </c>
      <c r="G235" s="7">
        <f t="shared" si="11"/>
        <v>0</v>
      </c>
      <c r="I235" s="4">
        <f>$B$7-SUM($F$5:F235)-SUM($H$5:H235)</f>
        <v>0</v>
      </c>
    </row>
    <row r="236" spans="5:9" x14ac:dyDescent="0.35">
      <c r="E236" s="7">
        <f t="shared" si="9"/>
        <v>0</v>
      </c>
      <c r="F236" s="7">
        <f t="shared" si="10"/>
        <v>0</v>
      </c>
      <c r="G236" s="7">
        <f t="shared" si="11"/>
        <v>0</v>
      </c>
      <c r="I236" s="4">
        <f>$B$7-SUM($F$5:F236)-SUM($H$5:H236)</f>
        <v>0</v>
      </c>
    </row>
    <row r="237" spans="5:9" x14ac:dyDescent="0.35">
      <c r="E237" s="7">
        <f t="shared" si="9"/>
        <v>0</v>
      </c>
      <c r="F237" s="7">
        <f t="shared" si="10"/>
        <v>0</v>
      </c>
      <c r="G237" s="7">
        <f t="shared" si="11"/>
        <v>0</v>
      </c>
      <c r="I237" s="4">
        <f>$B$7-SUM($F$5:F237)-SUM($H$5:H237)</f>
        <v>0</v>
      </c>
    </row>
    <row r="238" spans="5:9" x14ac:dyDescent="0.35">
      <c r="E238" s="7">
        <f t="shared" si="9"/>
        <v>0</v>
      </c>
      <c r="F238" s="7">
        <f t="shared" si="10"/>
        <v>0</v>
      </c>
      <c r="G238" s="7">
        <f t="shared" si="11"/>
        <v>0</v>
      </c>
      <c r="I238" s="4">
        <f>$B$7-SUM($F$5:F238)-SUM($H$5:H238)</f>
        <v>0</v>
      </c>
    </row>
    <row r="239" spans="5:9" x14ac:dyDescent="0.35">
      <c r="E239" s="7">
        <f t="shared" si="9"/>
        <v>0</v>
      </c>
      <c r="F239" s="7">
        <f t="shared" si="10"/>
        <v>0</v>
      </c>
      <c r="G239" s="7">
        <f t="shared" si="11"/>
        <v>0</v>
      </c>
      <c r="I239" s="4">
        <f>$B$7-SUM($F$5:F239)-SUM($H$5:H239)</f>
        <v>0</v>
      </c>
    </row>
    <row r="240" spans="5:9" x14ac:dyDescent="0.35">
      <c r="E240" s="7">
        <f t="shared" si="9"/>
        <v>0</v>
      </c>
      <c r="F240" s="7">
        <f t="shared" si="10"/>
        <v>0</v>
      </c>
      <c r="G240" s="7">
        <f t="shared" si="11"/>
        <v>0</v>
      </c>
      <c r="I240" s="4">
        <f>$B$7-SUM($F$5:F240)-SUM($H$5:H240)</f>
        <v>0</v>
      </c>
    </row>
    <row r="241" spans="5:9" x14ac:dyDescent="0.35">
      <c r="E241" s="7">
        <f t="shared" si="9"/>
        <v>0</v>
      </c>
      <c r="F241" s="7">
        <f t="shared" si="10"/>
        <v>0</v>
      </c>
      <c r="G241" s="7">
        <f t="shared" si="11"/>
        <v>0</v>
      </c>
      <c r="I241" s="4">
        <f>$B$7-SUM($F$5:F241)-SUM($H$5:H241)</f>
        <v>0</v>
      </c>
    </row>
    <row r="242" spans="5:9" x14ac:dyDescent="0.35">
      <c r="E242" s="7">
        <f t="shared" si="9"/>
        <v>0</v>
      </c>
      <c r="F242" s="7">
        <f t="shared" si="10"/>
        <v>0</v>
      </c>
      <c r="G242" s="7">
        <f t="shared" si="11"/>
        <v>0</v>
      </c>
      <c r="I242" s="4">
        <f>$B$7-SUM($F$5:F242)-SUM($H$5:H242)</f>
        <v>0</v>
      </c>
    </row>
    <row r="243" spans="5:9" x14ac:dyDescent="0.35">
      <c r="E243" s="7">
        <f t="shared" si="9"/>
        <v>0</v>
      </c>
      <c r="F243" s="7">
        <f t="shared" si="10"/>
        <v>0</v>
      </c>
      <c r="G243" s="7">
        <f t="shared" si="11"/>
        <v>0</v>
      </c>
      <c r="I243" s="4">
        <f>$B$7-SUM($F$5:F243)-SUM($H$5:H243)</f>
        <v>0</v>
      </c>
    </row>
    <row r="244" spans="5:9" x14ac:dyDescent="0.35">
      <c r="E244" s="7">
        <f t="shared" si="9"/>
        <v>0</v>
      </c>
      <c r="F244" s="7">
        <f t="shared" si="10"/>
        <v>0</v>
      </c>
      <c r="G244" s="7">
        <f t="shared" si="11"/>
        <v>0</v>
      </c>
      <c r="I244" s="4">
        <f>$B$7-SUM($F$5:F244)-SUM($H$5:H244)</f>
        <v>0</v>
      </c>
    </row>
  </sheetData>
  <mergeCells count="1">
    <mergeCell ref="D3:I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402459-FF74-4B45-9922-F4844C60761F}">
          <x14:formula1>
            <xm:f>'Cleaned Data'!$A$2:$A$101</xm:f>
          </x14:formula1>
          <xm:sqref>B3:C3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0A6E-AE4B-4C4E-91E1-FA0D64DC90FD}">
  <dimension ref="A1:C26"/>
  <sheetViews>
    <sheetView showGridLines="0" workbookViewId="0">
      <selection activeCell="G11" sqref="G11"/>
    </sheetView>
  </sheetViews>
  <sheetFormatPr defaultColWidth="8.54296875" defaultRowHeight="14.5" x14ac:dyDescent="0.35"/>
  <cols>
    <col min="1" max="1" width="4" customWidth="1"/>
    <col min="2" max="2" width="28" customWidth="1"/>
    <col min="3" max="3" width="62" customWidth="1"/>
  </cols>
  <sheetData>
    <row r="1" spans="1:3" ht="19" x14ac:dyDescent="0.35">
      <c r="A1" s="27" t="s">
        <v>655</v>
      </c>
      <c r="B1" s="27"/>
      <c r="C1" s="27"/>
    </row>
    <row r="2" spans="1:3" ht="19.5" customHeight="1" x14ac:dyDescent="0.35">
      <c r="A2" s="28" t="s">
        <v>656</v>
      </c>
      <c r="B2" s="28"/>
      <c r="C2" s="28"/>
    </row>
    <row r="4" spans="1:3" ht="24" customHeight="1" x14ac:dyDescent="0.35">
      <c r="A4" s="29" t="s">
        <v>657</v>
      </c>
      <c r="B4" s="29"/>
      <c r="C4" s="29"/>
    </row>
    <row r="5" spans="1:3" ht="18" customHeight="1" x14ac:dyDescent="0.35">
      <c r="B5" s="19" t="s">
        <v>649</v>
      </c>
      <c r="C5" s="20" t="s">
        <v>658</v>
      </c>
    </row>
    <row r="6" spans="1:3" ht="18" customHeight="1" x14ac:dyDescent="0.35">
      <c r="B6" s="19" t="s">
        <v>650</v>
      </c>
      <c r="C6" s="20" t="s">
        <v>659</v>
      </c>
    </row>
    <row r="7" spans="1:3" ht="18" customHeight="1" x14ac:dyDescent="0.35">
      <c r="B7" s="19" t="s">
        <v>651</v>
      </c>
      <c r="C7" s="20" t="s">
        <v>660</v>
      </c>
    </row>
    <row r="8" spans="1:3" ht="18" customHeight="1" x14ac:dyDescent="0.35">
      <c r="B8" s="19" t="s">
        <v>652</v>
      </c>
      <c r="C8" s="20" t="s">
        <v>661</v>
      </c>
    </row>
    <row r="9" spans="1:3" ht="18" customHeight="1" x14ac:dyDescent="0.35">
      <c r="B9" s="19" t="s">
        <v>284</v>
      </c>
      <c r="C9" s="20" t="s">
        <v>662</v>
      </c>
    </row>
    <row r="10" spans="1:3" ht="18" customHeight="1" x14ac:dyDescent="0.35">
      <c r="B10" s="19" t="s">
        <v>663</v>
      </c>
      <c r="C10" s="20" t="s">
        <v>664</v>
      </c>
    </row>
    <row r="11" spans="1:3" ht="18" customHeight="1" x14ac:dyDescent="0.35">
      <c r="B11" s="19" t="s">
        <v>653</v>
      </c>
      <c r="C11" s="20" t="s">
        <v>665</v>
      </c>
    </row>
    <row r="13" spans="1:3" ht="24" customHeight="1" x14ac:dyDescent="0.35">
      <c r="A13" s="30" t="s">
        <v>666</v>
      </c>
      <c r="B13" s="30"/>
      <c r="C13" s="30"/>
    </row>
    <row r="14" spans="1:3" ht="18" customHeight="1" x14ac:dyDescent="0.35">
      <c r="B14" s="19" t="s">
        <v>667</v>
      </c>
      <c r="C14" s="20" t="s">
        <v>668</v>
      </c>
    </row>
    <row r="15" spans="1:3" ht="18" customHeight="1" x14ac:dyDescent="0.35">
      <c r="B15" s="19" t="s">
        <v>669</v>
      </c>
      <c r="C15" s="20" t="s">
        <v>670</v>
      </c>
    </row>
    <row r="16" spans="1:3" ht="18" customHeight="1" x14ac:dyDescent="0.35">
      <c r="B16" s="19" t="s">
        <v>671</v>
      </c>
      <c r="C16" s="20" t="s">
        <v>672</v>
      </c>
    </row>
    <row r="17" spans="1:3" ht="18" customHeight="1" x14ac:dyDescent="0.35">
      <c r="B17" s="19" t="s">
        <v>673</v>
      </c>
      <c r="C17" s="20" t="s">
        <v>674</v>
      </c>
    </row>
    <row r="18" spans="1:3" ht="18" customHeight="1" x14ac:dyDescent="0.35">
      <c r="B18" s="19" t="s">
        <v>675</v>
      </c>
      <c r="C18" s="20" t="s">
        <v>676</v>
      </c>
    </row>
    <row r="20" spans="1:3" ht="24" customHeight="1" x14ac:dyDescent="0.35">
      <c r="A20" s="31" t="s">
        <v>677</v>
      </c>
      <c r="B20" s="31"/>
      <c r="C20" s="31"/>
    </row>
    <row r="21" spans="1:3" ht="18" customHeight="1" x14ac:dyDescent="0.35">
      <c r="B21" s="19" t="s">
        <v>678</v>
      </c>
      <c r="C21" s="20" t="s">
        <v>679</v>
      </c>
    </row>
    <row r="22" spans="1:3" ht="18" customHeight="1" x14ac:dyDescent="0.35">
      <c r="B22" s="19" t="s">
        <v>680</v>
      </c>
      <c r="C22" s="20" t="s">
        <v>681</v>
      </c>
    </row>
    <row r="23" spans="1:3" ht="18" customHeight="1" x14ac:dyDescent="0.35">
      <c r="B23" s="19" t="s">
        <v>682</v>
      </c>
      <c r="C23" s="20" t="s">
        <v>683</v>
      </c>
    </row>
    <row r="24" spans="1:3" ht="18" customHeight="1" x14ac:dyDescent="0.35">
      <c r="B24" s="19" t="s">
        <v>280</v>
      </c>
      <c r="C24" s="20" t="s">
        <v>684</v>
      </c>
    </row>
    <row r="26" spans="1:3" x14ac:dyDescent="0.35">
      <c r="A26" s="26" t="s">
        <v>685</v>
      </c>
      <c r="B26" s="26"/>
      <c r="C26" s="26"/>
    </row>
  </sheetData>
  <mergeCells count="6">
    <mergeCell ref="A26:C26"/>
    <mergeCell ref="A1:C1"/>
    <mergeCell ref="A2:C2"/>
    <mergeCell ref="A4:C4"/>
    <mergeCell ref="A13:C13"/>
    <mergeCell ref="A20:C2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1DC55-8DC1-4806-B0DE-14BAF283CA22}">
  <dimension ref="C3:K6"/>
  <sheetViews>
    <sheetView showGridLines="0" zoomScale="70" zoomScaleNormal="70" workbookViewId="0">
      <selection activeCell="E1" sqref="E1:E1048576"/>
    </sheetView>
  </sheetViews>
  <sheetFormatPr defaultRowHeight="14.5" x14ac:dyDescent="0.35"/>
  <cols>
    <col min="3" max="3" width="15.26953125" customWidth="1"/>
    <col min="5" max="5" width="20.36328125" bestFit="1" customWidth="1"/>
    <col min="7" max="7" width="17.54296875" bestFit="1" customWidth="1"/>
    <col min="9" max="9" width="22.54296875" bestFit="1" customWidth="1"/>
    <col min="11" max="11" width="22.453125" bestFit="1" customWidth="1"/>
  </cols>
  <sheetData>
    <row r="3" spans="3:11" ht="31" x14ac:dyDescent="0.7">
      <c r="C3" s="35" t="s">
        <v>648</v>
      </c>
      <c r="D3" s="36"/>
      <c r="E3" s="36"/>
      <c r="F3" s="36"/>
      <c r="G3" s="36"/>
      <c r="H3" s="36"/>
      <c r="I3" s="36"/>
      <c r="J3" s="36"/>
      <c r="K3" s="37"/>
    </row>
    <row r="5" spans="3:11" ht="18.5" x14ac:dyDescent="0.45">
      <c r="C5" s="21" t="s">
        <v>687</v>
      </c>
      <c r="E5" s="21" t="s">
        <v>686</v>
      </c>
      <c r="G5" s="21" t="s">
        <v>688</v>
      </c>
      <c r="I5" s="21" t="s">
        <v>689</v>
      </c>
      <c r="K5" s="21" t="s">
        <v>690</v>
      </c>
    </row>
    <row r="6" spans="3:11" x14ac:dyDescent="0.35">
      <c r="C6">
        <f>COUNTA(tblLoan[Loan_ID])</f>
        <v>100</v>
      </c>
      <c r="E6" s="2">
        <f>SUM(tblLoan[Loan_Amount])</f>
        <v>198316582</v>
      </c>
      <c r="G6" s="22">
        <f>AVERAGE(tblLoan[Loan_Amount])</f>
        <v>1983165.82</v>
      </c>
      <c r="I6" s="23">
        <f>AVERAGE(tblLoan[Interest_Rate])</f>
        <v>0.10431499999999999</v>
      </c>
      <c r="K6">
        <f>AVERAGE(tblLoan[Credit_Score])</f>
        <v>760.07</v>
      </c>
    </row>
  </sheetData>
  <mergeCells count="1">
    <mergeCell ref="C3:K3"/>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vt:lpstr>
      <vt:lpstr>Raw Data</vt:lpstr>
      <vt:lpstr>Cleaning Tasks</vt:lpstr>
      <vt:lpstr>EMI Calculation</vt:lpstr>
      <vt:lpstr>Pivot1</vt:lpstr>
      <vt:lpstr>Pivot2</vt:lpstr>
      <vt:lpstr>Pivot3</vt:lpstr>
      <vt:lpstr>Pivot4</vt:lpstr>
      <vt:lpstr>Pivot 5</vt:lpstr>
      <vt:lpstr>Cleaned Data</vt:lpstr>
      <vt:lpstr>Amortization Table</vt:lpstr>
      <vt:lpstr>Instructions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Subhayan Mitra</dc:creator>
  <cp:lastModifiedBy>Debtanu De</cp:lastModifiedBy>
  <dcterms:created xsi:type="dcterms:W3CDTF">2026-05-19T02:44:57Z</dcterms:created>
  <dcterms:modified xsi:type="dcterms:W3CDTF">2026-05-19T10:19:24Z</dcterms:modified>
</cp:coreProperties>
</file>